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hul Kumar\Downloads\"/>
    </mc:Choice>
  </mc:AlternateContent>
  <bookViews>
    <workbookView xWindow="0" yWindow="0" windowWidth="20490" windowHeight="7755"/>
  </bookViews>
  <sheets>
    <sheet name="Input" sheetId="1" r:id="rId1"/>
    <sheet name="Stats" sheetId="8" state="hidden" r:id="rId2"/>
    <sheet name="Remediation Plan" sheetId="9" state="hidden" r:id="rId3"/>
  </sheets>
  <functionGroups builtInGroupCount="18"/>
  <definedNames>
    <definedName name="_xlnm._FilterDatabase" localSheetId="2" hidden="1">'Remediation Plan'!$A$3:$AE$37</definedName>
    <definedName name="CURRENTFILE">Input!$F$8</definedName>
    <definedName name="CURRENTPATH">Input!$A$8</definedName>
    <definedName name="DATE">Input!#REF!</definedName>
    <definedName name="filename">Input!#REF!</definedName>
    <definedName name="INPUTPATH">Input!$A$11</definedName>
    <definedName name="OUTPUTPATH">Input!$A$14</definedName>
    <definedName name="PATH">Input!$E$8</definedName>
  </definedNames>
  <calcPr calcId="152511"/>
</workbook>
</file>

<file path=xl/calcChain.xml><?xml version="1.0" encoding="utf-8"?>
<calcChain xmlns="http://schemas.openxmlformats.org/spreadsheetml/2006/main">
  <c r="L3" i="1" l="1"/>
  <c r="E8" i="1"/>
  <c r="F8" i="1" s="1"/>
  <c r="O39" i="9"/>
  <c r="T37" i="9"/>
  <c r="R37" i="9"/>
  <c r="P37" i="9"/>
  <c r="T36" i="9"/>
  <c r="R36" i="9"/>
  <c r="P36" i="9"/>
  <c r="T35" i="9"/>
  <c r="R35" i="9"/>
  <c r="P35" i="9"/>
  <c r="T34" i="9"/>
  <c r="R34" i="9"/>
  <c r="P34" i="9"/>
  <c r="T33" i="9"/>
  <c r="R33" i="9"/>
  <c r="P33" i="9"/>
  <c r="T32" i="9"/>
  <c r="R32" i="9"/>
  <c r="P32" i="9"/>
  <c r="T31" i="9"/>
  <c r="R31" i="9"/>
  <c r="P31" i="9"/>
  <c r="T30" i="9"/>
  <c r="R30" i="9"/>
  <c r="P30" i="9"/>
  <c r="T29" i="9"/>
  <c r="R29" i="9"/>
  <c r="P29" i="9"/>
  <c r="T28" i="9"/>
  <c r="R28" i="9"/>
  <c r="P28" i="9"/>
  <c r="T27" i="9"/>
  <c r="R27" i="9"/>
  <c r="P27" i="9"/>
  <c r="T26" i="9"/>
  <c r="R26" i="9"/>
  <c r="P26" i="9"/>
  <c r="T25" i="9"/>
  <c r="R25" i="9"/>
  <c r="P25" i="9"/>
  <c r="T24" i="9"/>
  <c r="R24" i="9"/>
  <c r="P24" i="9"/>
  <c r="T23" i="9"/>
  <c r="R23" i="9"/>
  <c r="P23" i="9"/>
  <c r="T22" i="9"/>
  <c r="R22" i="9"/>
  <c r="P22" i="9"/>
  <c r="T21" i="9"/>
  <c r="R21" i="9"/>
  <c r="P21" i="9"/>
  <c r="T20" i="9"/>
  <c r="R20" i="9"/>
  <c r="P20" i="9"/>
  <c r="T19" i="9"/>
  <c r="R19" i="9"/>
  <c r="P19" i="9"/>
  <c r="T18" i="9"/>
  <c r="R18" i="9"/>
  <c r="P18" i="9"/>
  <c r="T17" i="9"/>
  <c r="R17" i="9"/>
  <c r="P17" i="9"/>
  <c r="T16" i="9"/>
  <c r="R16" i="9"/>
  <c r="P16" i="9"/>
  <c r="T15" i="9"/>
  <c r="R15" i="9"/>
  <c r="P15" i="9"/>
  <c r="T14" i="9"/>
  <c r="R14" i="9"/>
  <c r="P14" i="9"/>
  <c r="T13" i="9"/>
  <c r="R13" i="9"/>
  <c r="P13" i="9"/>
  <c r="T12" i="9"/>
  <c r="R12" i="9"/>
  <c r="P12" i="9"/>
  <c r="T11" i="9"/>
  <c r="R11" i="9"/>
  <c r="P11" i="9"/>
  <c r="T10" i="9"/>
  <c r="R10" i="9"/>
  <c r="P10" i="9"/>
  <c r="T9" i="9"/>
  <c r="R9" i="9"/>
  <c r="P9" i="9"/>
  <c r="T8" i="9"/>
  <c r="R8" i="9"/>
  <c r="P8" i="9"/>
  <c r="T7" i="9"/>
  <c r="R7" i="9"/>
  <c r="P7" i="9"/>
  <c r="T6" i="9"/>
  <c r="R6" i="9"/>
  <c r="P6" i="9"/>
  <c r="T5" i="9"/>
  <c r="R5" i="9"/>
  <c r="P5" i="9"/>
  <c r="T4" i="9"/>
  <c r="R4" i="9"/>
  <c r="P4" i="9"/>
  <c r="G22" i="8"/>
  <c r="G21" i="8"/>
  <c r="E21" i="8"/>
  <c r="C21" i="8"/>
  <c r="G20" i="8"/>
  <c r="G19" i="8"/>
  <c r="G18" i="8"/>
  <c r="G17" i="8"/>
  <c r="G16" i="8"/>
  <c r="G15" i="8"/>
  <c r="G14" i="8"/>
  <c r="G13" i="8"/>
  <c r="G12" i="8"/>
  <c r="E12" i="8"/>
  <c r="E22" i="8"/>
  <c r="C12" i="8"/>
  <c r="C22" i="8" s="1"/>
  <c r="G11" i="8"/>
  <c r="G10" i="8"/>
  <c r="G9" i="8"/>
  <c r="G8" i="8"/>
  <c r="G7" i="8"/>
  <c r="G6" i="8"/>
  <c r="G5" i="8"/>
  <c r="G4" i="8"/>
  <c r="A8" i="1" l="1"/>
</calcChain>
</file>

<file path=xl/connections.xml><?xml version="1.0" encoding="utf-8"?>
<connections xmlns="http://schemas.openxmlformats.org/spreadsheetml/2006/main">
  <connection id="1" name="SUM1_08102009" type="6" refreshedVersion="0" background="1">
    <textPr prompt="0" sourceFile="\SUM1_08102009.txt">
      <textFields>
        <textField/>
      </textFields>
    </textPr>
  </connection>
  <connection id="2" name="SUM5_08142009" type="6" refreshedVersion="0" background="1">
    <textPr prompt="0" sourceFile="\SUM5_08142009.txt">
      <textFields>
        <textField/>
      </textFields>
    </textPr>
  </connection>
  <connection id="3" name="SUM5_081420091" type="6" refreshedVersion="0" background="1">
    <textPr prompt="0" sourceFile="\SUM5_08142009.txt">
      <textFields>
        <textField/>
      </textFields>
    </textPr>
  </connection>
  <connection id="4" name="SUM5_081420092" type="6" refreshedVersion="0" background="1">
    <textPr prompt="0" sourceFile="\SUM5_08142009.txt">
      <textFields>
        <textField/>
      </textFields>
    </textPr>
  </connection>
  <connection id="5" name="SUM5_081420093" type="6" refreshedVersion="0" background="1">
    <textPr prompt="0" sourceFile="C:\CDRIVE FOLDERS\PROJECTS\Walmart\Purchase Order Testing\Tool_CA Purchase Order Remediation report\Input Reports\SUM5_08142009.txt">
      <textFields>
        <textField/>
      </textFields>
    </textPr>
  </connection>
  <connection id="6" name="SUM5_081420094" type="6" refreshedVersion="0" background="1">
    <textPr prompt="0" sourceFile="C:\CDRIVE FOLDERS\PROJECTS\Walmart\Purchase Order Testing\Tool_CA Purchase Order Remediation report\Input Reports\SUM5_08142009.txt">
      <textFields>
        <textField/>
      </textFields>
    </textPr>
  </connection>
  <connection id="7" name="SUM7_08142009" type="6" refreshedVersion="0" background="1">
    <textPr prompt="0" sourceFile="\SUM7_08142009.txt">
      <textFields>
        <textField/>
      </textFields>
    </textPr>
  </connection>
  <connection id="8" name="SUM7_081420091" type="6" refreshedVersion="0" background="1">
    <textPr prompt="0" sourceFile="C:\CDRIVE FOLDERS\PROJECTS\Walmart\Purchase Order Testing\Tool_CA Purchase Order Remediation report\Input Reports\SUM7_08142009.txt">
      <textFields>
        <textField/>
      </textFields>
    </textPr>
  </connection>
</connections>
</file>

<file path=xl/sharedStrings.xml><?xml version="1.0" encoding="utf-8"?>
<sst xmlns="http://schemas.openxmlformats.org/spreadsheetml/2006/main" count="445" uniqueCount="245">
  <si>
    <t>Click on the below button once the inputs are filled</t>
  </si>
  <si>
    <t>Initial Assessment</t>
  </si>
  <si>
    <t>Current Assessment</t>
  </si>
  <si>
    <t>DQ Dimension</t>
  </si>
  <si>
    <t>Business Rules</t>
  </si>
  <si>
    <t>Total Records</t>
  </si>
  <si>
    <t>Attribute Exceptions</t>
  </si>
  <si>
    <t>Unique Records</t>
  </si>
  <si>
    <t>Count</t>
  </si>
  <si>
    <t>Business</t>
  </si>
  <si>
    <t>Business Rule Compliance</t>
  </si>
  <si>
    <t>Completeness</t>
  </si>
  <si>
    <t>Integrity</t>
  </si>
  <si>
    <t>Reasonable Values</t>
  </si>
  <si>
    <t>Validity</t>
  </si>
  <si>
    <t>Business Total (Unique Records)</t>
  </si>
  <si>
    <t>Remediation Assignment</t>
  </si>
  <si>
    <t>Very High (P2)</t>
  </si>
  <si>
    <t>Will cause the conversion record to fail and will impact the go forward process, must be fixed pre-conversion</t>
  </si>
  <si>
    <t>Object</t>
  </si>
  <si>
    <t>Defect</t>
  </si>
  <si>
    <t>Defect #</t>
  </si>
  <si>
    <t>Rule #</t>
  </si>
  <si>
    <t>Field</t>
  </si>
  <si>
    <t>Source</t>
  </si>
  <si>
    <t>Overall Business Risk</t>
  </si>
  <si>
    <t>Target</t>
  </si>
  <si>
    <t>Test ID</t>
  </si>
  <si>
    <t>Requirement</t>
  </si>
  <si>
    <t>% Compliance</t>
  </si>
  <si>
    <r>
      <t xml:space="preserve">Resolved </t>
    </r>
    <r>
      <rPr>
        <b/>
        <sz val="9"/>
        <color indexed="10"/>
        <rFont val="Verdana"/>
        <family val="2"/>
      </rPr>
      <t>(New)</t>
    </r>
  </si>
  <si>
    <t>Remaining</t>
  </si>
  <si>
    <t>DQ Comments</t>
  </si>
  <si>
    <t>Remediation Action</t>
  </si>
  <si>
    <t>Remediation Technique</t>
  </si>
  <si>
    <t>Remediation Assigned To</t>
  </si>
  <si>
    <t>Assigned Date</t>
  </si>
  <si>
    <t>Planned Resolution Date</t>
  </si>
  <si>
    <t>Medium</t>
  </si>
  <si>
    <t>Will cause the conversion record to fail, but can be fixed post conversion.</t>
  </si>
  <si>
    <t>Table</t>
  </si>
  <si>
    <t>Column</t>
  </si>
  <si>
    <t>Low</t>
  </si>
  <si>
    <t>Will not cause the conversion record to fail, can be fixed post conversion as clients are met by the representatives</t>
  </si>
  <si>
    <t>Uniqueness</t>
  </si>
  <si>
    <t>Current Assessment 8/12/2009</t>
  </si>
  <si>
    <t>Type</t>
  </si>
  <si>
    <t>DQ Test</t>
  </si>
  <si>
    <t>Number of Business Rules</t>
  </si>
  <si>
    <t>Unique Records*</t>
  </si>
  <si>
    <t>%</t>
  </si>
  <si>
    <t>Filter</t>
  </si>
  <si>
    <t>Format</t>
  </si>
  <si>
    <t>SAP</t>
  </si>
  <si>
    <t>SAP Total (Unique Records*)</t>
  </si>
  <si>
    <t>Grand Total (Unique Records*)</t>
  </si>
  <si>
    <t>* Unique records are calculated at the Document, Document Type, Line Item level</t>
  </si>
  <si>
    <t>Exceptions</t>
  </si>
  <si>
    <t>PO Master Details</t>
  </si>
  <si>
    <t>Order_Type</t>
  </si>
  <si>
    <t>JDE_F4301</t>
  </si>
  <si>
    <t>PHDCTO</t>
  </si>
  <si>
    <t>EKKO</t>
  </si>
  <si>
    <t>BSART</t>
  </si>
  <si>
    <t>PO-01</t>
  </si>
  <si>
    <t>Order type cannot be null</t>
  </si>
  <si>
    <t>PO-02</t>
  </si>
  <si>
    <t>Order type must be valid</t>
  </si>
  <si>
    <t>Address Number</t>
  </si>
  <si>
    <t>JDE_F0101</t>
  </si>
  <si>
    <t>ALKY</t>
  </si>
  <si>
    <t>LIFNR</t>
  </si>
  <si>
    <t>PO-03</t>
  </si>
  <si>
    <t>Address Number (Vendor Number) must be valid</t>
  </si>
  <si>
    <t xml:space="preserve">The 3015 records with exceptions have a vendor number that is present, but not in the list of valid C2 vendors from the Supplier Load.  </t>
  </si>
  <si>
    <t>We are performing a full load and are not limited to only C2 vendors.  No action required.</t>
  </si>
  <si>
    <t>N/A</t>
  </si>
  <si>
    <t>PO-04</t>
  </si>
  <si>
    <t>Address Number (Vendor Number) cannot be blank</t>
  </si>
  <si>
    <t>The 663 records with exceptions have a null vendor number (ALKY) which needs to be populated in the F0101 vendor master record.</t>
  </si>
  <si>
    <t>Populate the F0101 record for the Vendor used in these Pos with a valid HOST Vendor Number (ALKY) as the Vendor Number is a required field in SAP.</t>
  </si>
  <si>
    <t>Manual</t>
  </si>
  <si>
    <t>PO Business Team</t>
  </si>
  <si>
    <t>Extended Price</t>
  </si>
  <si>
    <t>PDAEXP</t>
  </si>
  <si>
    <t>ESUH</t>
  </si>
  <si>
    <t>SUMLIMIT 
COMMITMENT</t>
  </si>
  <si>
    <t>Amount Extended Price cannot be blank</t>
  </si>
  <si>
    <t>PO-08</t>
  </si>
  <si>
    <t>Amount Extended Price cannot be negative</t>
  </si>
  <si>
    <t xml:space="preserve">There are 163 Amount Extended Price that are negative. Of the 663 records, there are 10 item numbers being referenced in the Pos which have negative values.  </t>
  </si>
  <si>
    <t>Business to verify that item numbers have a valid price per unit and should be applied to the PO.  These will be excluded from the final population being loaded due to the negative price.</t>
  </si>
  <si>
    <t>PO-31</t>
  </si>
  <si>
    <t>If a PO is considered Open and waiting receipt, the amount extended price cannot be 0</t>
  </si>
  <si>
    <t>Purchasing Cost Center</t>
  </si>
  <si>
    <t>JDE_F4311</t>
  </si>
  <si>
    <t>PDOMCU</t>
  </si>
  <si>
    <t>EKKN</t>
  </si>
  <si>
    <t>PS_PSP_PNR</t>
  </si>
  <si>
    <t>PO-11</t>
  </si>
  <si>
    <t>Project Business Unit cannot be blank</t>
  </si>
  <si>
    <t>There are 273 records that contain a null Project Business Unit.  The majority of these records are missing other information such as Vendor Number, OBJ, SUB.</t>
  </si>
  <si>
    <t>Business to provide a valid Project Business Unit for these records as they are required for SAP.</t>
  </si>
  <si>
    <t>PO-12</t>
  </si>
  <si>
    <t>Project Business Unit must be valid</t>
  </si>
  <si>
    <t>There are 6647 records that did not contain a valid Project Business Unit.  These values were not included in the Projects Master Extract.</t>
  </si>
  <si>
    <t>Business to validate that 6623 business units are valid.</t>
  </si>
  <si>
    <t>Object Account</t>
  </si>
  <si>
    <t>OBJ</t>
  </si>
  <si>
    <t>PO-13</t>
  </si>
  <si>
    <t>OBJECT ACCOUNT CANNOT BE BLANK</t>
  </si>
  <si>
    <t>The object account is null for 317 records.</t>
  </si>
  <si>
    <t>When object account is null, other required information is often null and will require remediation.  Business to review these records and supply a valid object account number.</t>
  </si>
  <si>
    <t>Subsidiary</t>
  </si>
  <si>
    <t>SUB</t>
  </si>
  <si>
    <t>EKKN 
ESLL</t>
  </si>
  <si>
    <t>PS_PSP_PNR 
SRVPOS</t>
  </si>
  <si>
    <t>PO-15</t>
  </si>
  <si>
    <t>Subsidiary cannot be blank if job number begins with a "J".</t>
  </si>
  <si>
    <t>Based on business rules, there are 69 records that have a blank subsidiary when the job number begins with "J".</t>
  </si>
  <si>
    <t>Business to provide and remediate records to contain a valid subsidiary number.</t>
  </si>
  <si>
    <t xml:space="preserve">WBS Element </t>
  </si>
  <si>
    <t>PDOMCU 
OBJ 
SUB</t>
  </si>
  <si>
    <t>PS_PSP_PRN</t>
  </si>
  <si>
    <t>WBS must be valid.</t>
  </si>
  <si>
    <t>Need to get the entire transformation table for validation</t>
  </si>
  <si>
    <t>PO requirements - Business</t>
  </si>
  <si>
    <t>PO-17</t>
  </si>
  <si>
    <t>Only Open purchase Orders will be converted to SAP</t>
  </si>
  <si>
    <t>Need the AP Notes table for complete testing</t>
  </si>
  <si>
    <t>Order Number</t>
  </si>
  <si>
    <t>PHDOCO</t>
  </si>
  <si>
    <t>UNSEZ</t>
  </si>
  <si>
    <t>PO-22</t>
  </si>
  <si>
    <t>Order Number cannot be blank</t>
  </si>
  <si>
    <t>Order Date</t>
  </si>
  <si>
    <t>PHTRDJ</t>
  </si>
  <si>
    <t>BEDAT</t>
  </si>
  <si>
    <t>PO-23</t>
  </si>
  <si>
    <t>Order/Transaction Date must be a valid date</t>
  </si>
  <si>
    <t>Delivery Date</t>
  </si>
  <si>
    <t>PDDRQJ</t>
  </si>
  <si>
    <t>EKET</t>
  </si>
  <si>
    <t>EINDT</t>
  </si>
  <si>
    <t>PO-24</t>
  </si>
  <si>
    <t>Original Promised Delivery Date must be a valid date</t>
  </si>
  <si>
    <t>PO Quantity</t>
  </si>
  <si>
    <t>PDUOPN</t>
  </si>
  <si>
    <t>EKPO</t>
  </si>
  <si>
    <t>MENGE</t>
  </si>
  <si>
    <t>PO-27</t>
  </si>
  <si>
    <t>Purchase Order Quantity must hold a valid quantity</t>
  </si>
  <si>
    <t>There are 115 records that the purchase order quantitly is not a valid value (null or less than 1).  This is interesting considering the AEXP Price is populated as if there were a quantity present.</t>
  </si>
  <si>
    <t>Business to review the exceptions and provide a quantity for the issues.</t>
  </si>
  <si>
    <t xml:space="preserve">Line ID </t>
  </si>
  <si>
    <t>PDLNID</t>
  </si>
  <si>
    <t>EBELP</t>
  </si>
  <si>
    <t>PO-32</t>
  </si>
  <si>
    <t xml:space="preserve">Line ID must be in intervals of 10 </t>
  </si>
  <si>
    <t xml:space="preserve"> DOCO 
DCTO
LNID</t>
  </si>
  <si>
    <t>PO-49</t>
  </si>
  <si>
    <t>POs cannot have duplicate line ids.</t>
  </si>
  <si>
    <t>There are 6 records that are duplicates on Doc Number, Doc Type, and Line Number</t>
  </si>
  <si>
    <t>Business to review exceptions and determine reason and remediation for the duplicate line numbers.</t>
  </si>
  <si>
    <t>Description</t>
  </si>
  <si>
    <t>PDDSC1/PDDSC2</t>
  </si>
  <si>
    <t>TXZ01</t>
  </si>
  <si>
    <t>PO-33</t>
  </si>
  <si>
    <t>Description must be populated</t>
  </si>
  <si>
    <t>PO-48</t>
  </si>
  <si>
    <t xml:space="preserve">Description must be less than 40 characters </t>
  </si>
  <si>
    <t>The test is if desc1 + desc2 is &gt; 40 Characters. The created Description field mentioned above could have truncated part of the desc1+desc2 if it had length greater than 40.</t>
  </si>
  <si>
    <t>The business should review the descriptions of the Items and remediate to less than 40 characters.</t>
  </si>
  <si>
    <t>Payment Terms Code</t>
  </si>
  <si>
    <t>PHPTC</t>
  </si>
  <si>
    <t>ZTERM</t>
  </si>
  <si>
    <t>PO-34</t>
  </si>
  <si>
    <t>Payment Term Code should cannot blank.</t>
  </si>
  <si>
    <t xml:space="preserve">There were 3833 records which had a null payment term in JDE.  </t>
  </si>
  <si>
    <t>It is required that every record contain a valid payment term code which maps to SAP. Business must provide a valid payment term.</t>
  </si>
  <si>
    <t>Identifier 2nd Item</t>
  </si>
  <si>
    <t>PDLITM</t>
  </si>
  <si>
    <t>MATNR</t>
  </si>
  <si>
    <t>PO-35</t>
  </si>
  <si>
    <t>LITM cannot be blank</t>
  </si>
  <si>
    <t xml:space="preserve">Unit of Measure </t>
  </si>
  <si>
    <t>PDUOM</t>
  </si>
  <si>
    <t>MEINS</t>
  </si>
  <si>
    <t>PO-37</t>
  </si>
  <si>
    <t>Unit of Measure cannot be blank.</t>
  </si>
  <si>
    <t>PO-51</t>
  </si>
  <si>
    <t>Unit of Measure must be valid</t>
  </si>
  <si>
    <t xml:space="preserve">Unit Cost </t>
  </si>
  <si>
    <t>PDPRRC</t>
  </si>
  <si>
    <t>NETPR</t>
  </si>
  <si>
    <t>PO-39</t>
  </si>
  <si>
    <t>Unit Cost cannot be blank.</t>
  </si>
  <si>
    <t>PO-40</t>
  </si>
  <si>
    <t>Unit cost must be valid</t>
  </si>
  <si>
    <t>There are 179 records that have a unit price that is less than or equal to 0.</t>
  </si>
  <si>
    <t>Base Currency</t>
  </si>
  <si>
    <t>PHCRCD</t>
  </si>
  <si>
    <t>WAERS</t>
  </si>
  <si>
    <t>PO-41</t>
  </si>
  <si>
    <t>Base currency cannot be blank</t>
  </si>
  <si>
    <t>PO-42</t>
  </si>
  <si>
    <t>Base currency must be valid.</t>
  </si>
  <si>
    <t>Division</t>
  </si>
  <si>
    <t>JDE_F0006</t>
  </si>
  <si>
    <t>RP07</t>
  </si>
  <si>
    <t>EKKO 
EKKN</t>
  </si>
  <si>
    <t>BURKS 
KOSTL</t>
  </si>
  <si>
    <t>PO-43</t>
  </si>
  <si>
    <t>Division cannot be blank</t>
  </si>
  <si>
    <t xml:space="preserve">There are 368 records which have division as blank.  </t>
  </si>
  <si>
    <t>Business to review records with exceptions and ensure that a valid division can be mapped through the Project Business Unit field to the Site master.</t>
  </si>
  <si>
    <t>Store</t>
  </si>
  <si>
    <t>RP30</t>
  </si>
  <si>
    <t>PO-44</t>
  </si>
  <si>
    <t>Store cannot be blank</t>
  </si>
  <si>
    <t>Division/Store</t>
  </si>
  <si>
    <t>RP07/RP30</t>
  </si>
  <si>
    <t>PO-45</t>
  </si>
  <si>
    <t>Division/Store must be valid.</t>
  </si>
  <si>
    <t xml:space="preserve">The 523 records with exceptions have a store number that can be either present or null, but not in the list of valid C2 vendors from the Supplier Load.  </t>
  </si>
  <si>
    <t>We are performing a full load and are not limited to only C2 store numbers  No action required for store numbers that are present..</t>
  </si>
  <si>
    <t>Account Category 21</t>
  </si>
  <si>
    <t>JDE_F0901</t>
  </si>
  <si>
    <t>R021</t>
  </si>
  <si>
    <t>WERKS</t>
  </si>
  <si>
    <t>PO-46</t>
  </si>
  <si>
    <t>Cannot be blank</t>
  </si>
  <si>
    <t>Amount Open</t>
  </si>
  <si>
    <t>JDE_F0411</t>
  </si>
  <si>
    <t>AAP</t>
  </si>
  <si>
    <t>ESLL</t>
  </si>
  <si>
    <t>PO-47</t>
  </si>
  <si>
    <t>PO-07</t>
  </si>
  <si>
    <t>PO-50</t>
  </si>
  <si>
    <t>Instructions to Use this Excel File:</t>
  </si>
  <si>
    <t>1. Please Enter the Inputs in the cells highlighted in Yellow Color</t>
  </si>
  <si>
    <t>2. Enter the folder path where the tab delimited files need to be placed:</t>
  </si>
  <si>
    <t>1. Enter the folder path where the input Excel files are present:</t>
  </si>
  <si>
    <t>2. Click on the button "Convert" once the inputs are filled. A pop-up window stating "All Files are Converted" will be appeared once the Conversion is completed.</t>
  </si>
  <si>
    <t>Pls change the list separator to "|" in clock section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</si>
</sst>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(* #,##0_);_(* \(#,##0\);_(* &quot;-&quot;_);_(@_)"/>
    <numFmt numFmtId="43" formatCode="_(* #,##0.00_);_(* \(#,##0.00\);_(* &quot;-&quot;??_);_(@_)"/>
    <numFmt numFmtId="164" formatCode="0_);[Red]\(0\)"/>
    <numFmt numFmtId="165" formatCode="0.0%"/>
    <numFmt numFmtId="166" formatCode="_(* #,##0_);_(* \(#,##0\);_(* &quot;-&quot;??_);_(@_)"/>
  </numFmts>
  <fonts count="28" x14ac:knownFonts="1">
    <font>
      <sz val="10"/>
      <name val="Arial"/>
    </font>
    <font>
      <sz val="10"/>
      <name val="Arial"/>
      <family val="2"/>
    </font>
    <font>
      <sz val="10"/>
      <name val="Verdana"/>
      <family val="2"/>
    </font>
    <font>
      <b/>
      <sz val="10"/>
      <name val="Verdana"/>
      <family val="2"/>
    </font>
    <font>
      <sz val="10"/>
      <color indexed="10"/>
      <name val="Verdana"/>
      <family val="2"/>
    </font>
    <font>
      <sz val="8"/>
      <name val="Arial"/>
      <family val="2"/>
    </font>
    <font>
      <sz val="10"/>
      <name val="Arial"/>
      <family val="2"/>
    </font>
    <font>
      <sz val="9"/>
      <name val="Verdana"/>
      <family val="2"/>
    </font>
    <font>
      <sz val="10"/>
      <name val="MS Sans Serif"/>
      <family val="2"/>
    </font>
    <font>
      <u/>
      <sz val="10"/>
      <color indexed="12"/>
      <name val="Arial"/>
      <family val="2"/>
    </font>
    <font>
      <b/>
      <sz val="9"/>
      <color indexed="9"/>
      <name val="Verdana"/>
      <family val="2"/>
    </font>
    <font>
      <b/>
      <sz val="9"/>
      <name val="Verdana"/>
      <family val="2"/>
    </font>
    <font>
      <b/>
      <sz val="9"/>
      <color indexed="10"/>
      <name val="Verdana"/>
      <family val="2"/>
    </font>
    <font>
      <sz val="9"/>
      <color indexed="8"/>
      <name val="Verdana"/>
      <family val="2"/>
    </font>
    <font>
      <sz val="10"/>
      <name val="MS Sans Serif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9"/>
      <name val="Arial"/>
      <family val="2"/>
    </font>
    <font>
      <b/>
      <sz val="9"/>
      <color indexed="8"/>
      <name val="Calibri"/>
      <family val="2"/>
    </font>
    <font>
      <b/>
      <sz val="9"/>
      <name val="Arial"/>
      <family val="2"/>
    </font>
    <font>
      <sz val="10"/>
      <name val="MS Sans Serif"/>
      <family val="2"/>
    </font>
    <font>
      <b/>
      <sz val="10"/>
      <color indexed="10"/>
      <name val="Verdana"/>
      <family val="2"/>
    </font>
    <font>
      <b/>
      <sz val="10"/>
      <color indexed="62"/>
      <name val="Verdana"/>
      <family val="2"/>
    </font>
    <font>
      <b/>
      <sz val="14"/>
      <color indexed="18"/>
      <name val="Verdana"/>
      <family val="2"/>
    </font>
    <font>
      <sz val="10"/>
      <color indexed="18"/>
      <name val="Verdana"/>
      <family val="2"/>
    </font>
    <font>
      <b/>
      <sz val="10"/>
      <color indexed="18"/>
      <name val="Verdana"/>
      <family val="2"/>
    </font>
    <font>
      <sz val="10"/>
      <color indexed="9"/>
      <name val="Verdana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5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8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64"/>
      </top>
      <bottom style="medium">
        <color indexed="64"/>
      </bottom>
      <diagonal/>
    </border>
    <border>
      <left style="thin">
        <color indexed="65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5"/>
      </left>
      <right/>
      <top style="medium">
        <color indexed="64"/>
      </top>
      <bottom style="medium">
        <color indexed="64"/>
      </bottom>
      <diagonal/>
    </border>
    <border>
      <left style="thin">
        <color indexed="8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/>
      <top/>
      <bottom style="double">
        <color indexed="64"/>
      </bottom>
      <diagonal/>
    </border>
    <border>
      <left style="thin">
        <color indexed="65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8"/>
      </left>
      <right style="thin">
        <color indexed="8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8"/>
      </right>
      <top style="medium">
        <color indexed="64"/>
      </top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/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7">
    <xf numFmtId="0" fontId="0" fillId="0" borderId="0"/>
    <xf numFmtId="0" fontId="1" fillId="0" borderId="0" applyNumberFormat="0" applyFill="0" applyBorder="0" applyAlignment="0" applyProtection="0"/>
    <xf numFmtId="43" fontId="21" fillId="0" borderId="0" applyFont="0" applyFill="0" applyBorder="0" applyAlignment="0" applyProtection="0"/>
    <xf numFmtId="0" fontId="15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8" fillId="0" borderId="0"/>
    <xf numFmtId="0" fontId="16" fillId="0" borderId="0"/>
    <xf numFmtId="0" fontId="14" fillId="0" borderId="0"/>
    <xf numFmtId="0" fontId="1" fillId="0" borderId="0"/>
    <xf numFmtId="0" fontId="17" fillId="0" borderId="0"/>
    <xf numFmtId="9" fontId="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212">
    <xf numFmtId="0" fontId="0" fillId="0" borderId="0" xfId="0"/>
    <xf numFmtId="0" fontId="2" fillId="0" borderId="0" xfId="0" applyFont="1"/>
    <xf numFmtId="0" fontId="2" fillId="0" borderId="0" xfId="0" applyFont="1" applyAlignment="1"/>
    <xf numFmtId="0" fontId="4" fillId="0" borderId="0" xfId="0" applyFont="1" applyFill="1" applyBorder="1" applyAlignment="1">
      <alignment horizontal="left" wrapText="1"/>
    </xf>
    <xf numFmtId="0" fontId="2" fillId="0" borderId="0" xfId="0" applyFont="1" applyFill="1" applyBorder="1" applyAlignment="1">
      <alignment horizontal="left" wrapText="1"/>
    </xf>
    <xf numFmtId="0" fontId="2" fillId="0" borderId="0" xfId="0" applyFont="1" applyFill="1"/>
    <xf numFmtId="49" fontId="2" fillId="0" borderId="0" xfId="0" applyNumberFormat="1" applyFont="1"/>
    <xf numFmtId="0" fontId="3" fillId="0" borderId="0" xfId="0" applyFont="1" applyAlignment="1"/>
    <xf numFmtId="0" fontId="3" fillId="0" borderId="0" xfId="0" applyFont="1" applyAlignment="1">
      <alignment wrapText="1"/>
    </xf>
    <xf numFmtId="0" fontId="18" fillId="2" borderId="0" xfId="6" applyFont="1" applyFill="1"/>
    <xf numFmtId="0" fontId="19" fillId="2" borderId="1" xfId="14" applyFont="1" applyFill="1" applyBorder="1" applyAlignment="1">
      <alignment horizontal="center" wrapText="1"/>
    </xf>
    <xf numFmtId="0" fontId="20" fillId="2" borderId="1" xfId="6" applyFont="1" applyFill="1" applyBorder="1" applyAlignment="1">
      <alignment horizontal="center" wrapText="1"/>
    </xf>
    <xf numFmtId="0" fontId="20" fillId="2" borderId="1" xfId="6" applyFont="1" applyFill="1" applyBorder="1" applyAlignment="1">
      <alignment horizontal="center"/>
    </xf>
    <xf numFmtId="10" fontId="20" fillId="2" borderId="1" xfId="6" applyNumberFormat="1" applyFont="1" applyFill="1" applyBorder="1" applyAlignment="1">
      <alignment horizontal="center"/>
    </xf>
    <xf numFmtId="0" fontId="18" fillId="2" borderId="2" xfId="14" applyFont="1" applyFill="1" applyBorder="1"/>
    <xf numFmtId="41" fontId="18" fillId="2" borderId="3" xfId="14" applyNumberFormat="1" applyFont="1" applyFill="1" applyBorder="1"/>
    <xf numFmtId="166" fontId="18" fillId="2" borderId="4" xfId="2" applyNumberFormat="1" applyFont="1" applyFill="1" applyBorder="1"/>
    <xf numFmtId="166" fontId="18" fillId="2" borderId="3" xfId="2" applyNumberFormat="1" applyFont="1" applyFill="1" applyBorder="1"/>
    <xf numFmtId="9" fontId="18" fillId="2" borderId="3" xfId="2" applyNumberFormat="1" applyFont="1" applyFill="1" applyBorder="1"/>
    <xf numFmtId="0" fontId="18" fillId="2" borderId="5" xfId="14" applyNumberFormat="1" applyFont="1" applyFill="1" applyBorder="1"/>
    <xf numFmtId="9" fontId="18" fillId="2" borderId="6" xfId="16" applyFont="1" applyFill="1" applyBorder="1"/>
    <xf numFmtId="0" fontId="18" fillId="2" borderId="7" xfId="14" applyFont="1" applyFill="1" applyBorder="1"/>
    <xf numFmtId="0" fontId="18" fillId="2" borderId="8" xfId="14" applyFont="1" applyFill="1" applyBorder="1"/>
    <xf numFmtId="41" fontId="18" fillId="2" borderId="9" xfId="14" applyNumberFormat="1" applyFont="1" applyFill="1" applyBorder="1"/>
    <xf numFmtId="166" fontId="18" fillId="2" borderId="10" xfId="2" applyNumberFormat="1" applyFont="1" applyFill="1" applyBorder="1"/>
    <xf numFmtId="166" fontId="18" fillId="2" borderId="9" xfId="2" applyNumberFormat="1" applyFont="1" applyFill="1" applyBorder="1"/>
    <xf numFmtId="9" fontId="18" fillId="2" borderId="9" xfId="2" applyNumberFormat="1" applyFont="1" applyFill="1" applyBorder="1"/>
    <xf numFmtId="0" fontId="18" fillId="2" borderId="11" xfId="14" applyNumberFormat="1" applyFont="1" applyFill="1" applyBorder="1"/>
    <xf numFmtId="9" fontId="18" fillId="2" borderId="12" xfId="16" applyFont="1" applyFill="1" applyBorder="1"/>
    <xf numFmtId="0" fontId="18" fillId="0" borderId="8" xfId="14" applyFont="1" applyBorder="1"/>
    <xf numFmtId="0" fontId="18" fillId="2" borderId="13" xfId="14" applyFont="1" applyFill="1" applyBorder="1"/>
    <xf numFmtId="0" fontId="18" fillId="2" borderId="14" xfId="14" applyFont="1" applyFill="1" applyBorder="1"/>
    <xf numFmtId="41" fontId="18" fillId="2" borderId="13" xfId="14" applyNumberFormat="1" applyFont="1" applyFill="1" applyBorder="1"/>
    <xf numFmtId="166" fontId="18" fillId="2" borderId="15" xfId="2" applyNumberFormat="1" applyFont="1" applyFill="1" applyBorder="1"/>
    <xf numFmtId="166" fontId="18" fillId="2" borderId="16" xfId="2" applyNumberFormat="1" applyFont="1" applyFill="1" applyBorder="1"/>
    <xf numFmtId="9" fontId="18" fillId="2" borderId="16" xfId="2" applyNumberFormat="1" applyFont="1" applyFill="1" applyBorder="1"/>
    <xf numFmtId="0" fontId="18" fillId="2" borderId="17" xfId="14" applyNumberFormat="1" applyFont="1" applyFill="1" applyBorder="1"/>
    <xf numFmtId="9" fontId="18" fillId="2" borderId="18" xfId="16" applyFont="1" applyFill="1" applyBorder="1"/>
    <xf numFmtId="166" fontId="18" fillId="2" borderId="0" xfId="6" applyNumberFormat="1" applyFont="1" applyFill="1"/>
    <xf numFmtId="41" fontId="18" fillId="2" borderId="8" xfId="14" applyNumberFormat="1" applyFont="1" applyFill="1" applyBorder="1"/>
    <xf numFmtId="0" fontId="18" fillId="2" borderId="19" xfId="14" applyFont="1" applyFill="1" applyBorder="1"/>
    <xf numFmtId="0" fontId="18" fillId="2" borderId="20" xfId="14" applyFont="1" applyFill="1" applyBorder="1"/>
    <xf numFmtId="41" fontId="18" fillId="2" borderId="21" xfId="14" applyNumberFormat="1" applyFont="1" applyFill="1" applyBorder="1"/>
    <xf numFmtId="166" fontId="18" fillId="2" borderId="22" xfId="2" applyNumberFormat="1" applyFont="1" applyFill="1" applyBorder="1"/>
    <xf numFmtId="166" fontId="18" fillId="2" borderId="23" xfId="2" applyNumberFormat="1" applyFont="1" applyFill="1" applyBorder="1"/>
    <xf numFmtId="9" fontId="18" fillId="2" borderId="24" xfId="2" applyNumberFormat="1" applyFont="1" applyFill="1" applyBorder="1"/>
    <xf numFmtId="0" fontId="18" fillId="2" borderId="25" xfId="14" applyFont="1" applyFill="1" applyBorder="1"/>
    <xf numFmtId="0" fontId="18" fillId="2" borderId="26" xfId="14" applyFont="1" applyFill="1" applyBorder="1"/>
    <xf numFmtId="41" fontId="18" fillId="2" borderId="25" xfId="14" applyNumberFormat="1" applyFont="1" applyFill="1" applyBorder="1"/>
    <xf numFmtId="166" fontId="18" fillId="2" borderId="27" xfId="2" applyNumberFormat="1" applyFont="1" applyFill="1" applyBorder="1"/>
    <xf numFmtId="166" fontId="18" fillId="2" borderId="28" xfId="2" applyNumberFormat="1" applyFont="1" applyFill="1" applyBorder="1"/>
    <xf numFmtId="166" fontId="18" fillId="2" borderId="25" xfId="2" applyNumberFormat="1" applyFont="1" applyFill="1" applyBorder="1"/>
    <xf numFmtId="9" fontId="18" fillId="2" borderId="29" xfId="2" applyNumberFormat="1" applyFont="1" applyFill="1" applyBorder="1"/>
    <xf numFmtId="0" fontId="18" fillId="2" borderId="30" xfId="14" applyNumberFormat="1" applyFont="1" applyFill="1" applyBorder="1"/>
    <xf numFmtId="166" fontId="18" fillId="2" borderId="31" xfId="2" applyNumberFormat="1" applyFont="1" applyFill="1" applyBorder="1"/>
    <xf numFmtId="9" fontId="18" fillId="2" borderId="32" xfId="16" applyFont="1" applyFill="1" applyBorder="1"/>
    <xf numFmtId="0" fontId="1" fillId="2" borderId="0" xfId="6" applyFill="1"/>
    <xf numFmtId="10" fontId="20" fillId="2" borderId="0" xfId="6" applyNumberFormat="1" applyFont="1" applyFill="1" applyBorder="1" applyAlignment="1">
      <alignment horizontal="center"/>
    </xf>
    <xf numFmtId="0" fontId="1" fillId="2" borderId="0" xfId="6" applyFont="1" applyFill="1"/>
    <xf numFmtId="0" fontId="7" fillId="0" borderId="0" xfId="9" applyAlignment="1">
      <alignment vertical="center" wrapText="1"/>
    </xf>
    <xf numFmtId="0" fontId="7" fillId="0" borderId="0" xfId="9" applyAlignment="1">
      <alignment horizontal="center" vertical="center" wrapText="1"/>
    </xf>
    <xf numFmtId="0" fontId="7" fillId="0" borderId="0" xfId="9" applyAlignment="1">
      <alignment horizontal="left" vertical="center" wrapText="1"/>
    </xf>
    <xf numFmtId="0" fontId="7" fillId="0" borderId="0" xfId="9" applyBorder="1" applyAlignment="1">
      <alignment vertical="center" wrapText="1"/>
    </xf>
    <xf numFmtId="0" fontId="7" fillId="0" borderId="33" xfId="9" applyBorder="1" applyAlignment="1">
      <alignment horizontal="left" vertical="center" wrapText="1"/>
    </xf>
    <xf numFmtId="0" fontId="7" fillId="0" borderId="33" xfId="9" applyBorder="1" applyAlignment="1">
      <alignment vertical="center" wrapText="1"/>
    </xf>
    <xf numFmtId="0" fontId="11" fillId="0" borderId="0" xfId="9" applyFont="1"/>
    <xf numFmtId="0" fontId="7" fillId="0" borderId="0" xfId="9"/>
    <xf numFmtId="0" fontId="10" fillId="3" borderId="34" xfId="9" applyFont="1" applyFill="1" applyBorder="1" applyAlignment="1">
      <alignment horizontal="center" vertical="center" wrapText="1"/>
    </xf>
    <xf numFmtId="0" fontId="10" fillId="3" borderId="35" xfId="9" applyFont="1" applyFill="1" applyBorder="1" applyAlignment="1">
      <alignment horizontal="center" vertical="center" wrapText="1"/>
    </xf>
    <xf numFmtId="0" fontId="10" fillId="3" borderId="36" xfId="9" applyFont="1" applyFill="1" applyBorder="1" applyAlignment="1">
      <alignment horizontal="left" vertical="center" wrapText="1"/>
    </xf>
    <xf numFmtId="0" fontId="10" fillId="3" borderId="4" xfId="9" applyFont="1" applyFill="1" applyBorder="1" applyAlignment="1">
      <alignment horizontal="left" vertical="center" wrapText="1"/>
    </xf>
    <xf numFmtId="0" fontId="11" fillId="2" borderId="37" xfId="9" applyFont="1" applyFill="1" applyBorder="1" applyAlignment="1">
      <alignment horizontal="center" vertical="center" wrapText="1"/>
    </xf>
    <xf numFmtId="0" fontId="13" fillId="0" borderId="38" xfId="9" applyFont="1" applyFill="1" applyBorder="1" applyAlignment="1">
      <alignment horizontal="center" vertical="center" wrapText="1"/>
    </xf>
    <xf numFmtId="0" fontId="13" fillId="0" borderId="33" xfId="9" applyFont="1" applyFill="1" applyBorder="1" applyAlignment="1">
      <alignment horizontal="center" vertical="center" wrapText="1"/>
    </xf>
    <xf numFmtId="0" fontId="5" fillId="4" borderId="39" xfId="14" applyFont="1" applyFill="1" applyBorder="1" applyAlignment="1">
      <alignment horizontal="left" vertical="center" wrapText="1"/>
    </xf>
    <xf numFmtId="0" fontId="7" fillId="2" borderId="40" xfId="9" applyFont="1" applyFill="1" applyBorder="1" applyAlignment="1">
      <alignment horizontal="center" vertical="center" wrapText="1"/>
    </xf>
    <xf numFmtId="0" fontId="7" fillId="0" borderId="41" xfId="9" applyBorder="1" applyAlignment="1">
      <alignment horizontal="center" vertical="center" wrapText="1"/>
    </xf>
    <xf numFmtId="0" fontId="7" fillId="2" borderId="41" xfId="9" applyFont="1" applyFill="1" applyBorder="1" applyAlignment="1">
      <alignment horizontal="left" vertical="center" wrapText="1"/>
    </xf>
    <xf numFmtId="0" fontId="5" fillId="2" borderId="40" xfId="14" applyFont="1" applyFill="1" applyBorder="1" applyAlignment="1">
      <alignment vertical="center"/>
    </xf>
    <xf numFmtId="0" fontId="7" fillId="2" borderId="40" xfId="9" applyFont="1" applyFill="1" applyBorder="1" applyAlignment="1">
      <alignment horizontal="left" vertical="center" wrapText="1"/>
    </xf>
    <xf numFmtId="0" fontId="7" fillId="2" borderId="42" xfId="9" applyFill="1" applyBorder="1" applyAlignment="1">
      <alignment horizontal="left" vertical="center" wrapText="1"/>
    </xf>
    <xf numFmtId="0" fontId="5" fillId="2" borderId="43" xfId="14" applyFont="1" applyFill="1" applyBorder="1" applyAlignment="1">
      <alignment vertical="center" wrapText="1"/>
    </xf>
    <xf numFmtId="3" fontId="7" fillId="2" borderId="44" xfId="9" applyNumberFormat="1" applyFont="1" applyFill="1" applyBorder="1" applyAlignment="1">
      <alignment horizontal="center" vertical="center" wrapText="1"/>
    </xf>
    <xf numFmtId="165" fontId="5" fillId="0" borderId="44" xfId="16" applyNumberFormat="1" applyFont="1" applyFill="1" applyBorder="1" applyAlignment="1">
      <alignment horizontal="center" vertical="center" wrapText="1"/>
    </xf>
    <xf numFmtId="38" fontId="5" fillId="0" borderId="44" xfId="14" applyNumberFormat="1" applyFont="1" applyFill="1" applyBorder="1" applyAlignment="1">
      <alignment vertical="center" wrapText="1"/>
    </xf>
    <xf numFmtId="164" fontId="7" fillId="2" borderId="41" xfId="9" applyNumberFormat="1" applyFont="1" applyFill="1" applyBorder="1" applyAlignment="1">
      <alignment horizontal="center" vertical="center" wrapText="1"/>
    </xf>
    <xf numFmtId="16" fontId="7" fillId="2" borderId="41" xfId="9" applyNumberFormat="1" applyFont="1" applyFill="1" applyBorder="1" applyAlignment="1">
      <alignment horizontal="center" vertical="center" wrapText="1"/>
    </xf>
    <xf numFmtId="16" fontId="7" fillId="2" borderId="41" xfId="9" applyNumberFormat="1" applyFont="1" applyFill="1" applyBorder="1" applyAlignment="1">
      <alignment horizontal="left" vertical="center" wrapText="1"/>
    </xf>
    <xf numFmtId="16" fontId="7" fillId="2" borderId="40" xfId="9" applyNumberFormat="1" applyFont="1" applyFill="1" applyBorder="1" applyAlignment="1">
      <alignment horizontal="center" vertical="center" wrapText="1"/>
    </xf>
    <xf numFmtId="16" fontId="7" fillId="0" borderId="41" xfId="9" applyNumberFormat="1" applyFont="1" applyBorder="1" applyAlignment="1">
      <alignment horizontal="center" vertical="center" wrapText="1"/>
    </xf>
    <xf numFmtId="16" fontId="7" fillId="0" borderId="41" xfId="9" applyNumberFormat="1" applyBorder="1" applyAlignment="1">
      <alignment horizontal="center" vertical="center" wrapText="1"/>
    </xf>
    <xf numFmtId="16" fontId="7" fillId="0" borderId="45" xfId="9" applyNumberFormat="1" applyBorder="1" applyAlignment="1">
      <alignment horizontal="center" vertical="center" wrapText="1"/>
    </xf>
    <xf numFmtId="0" fontId="11" fillId="2" borderId="46" xfId="9" applyFont="1" applyFill="1" applyBorder="1" applyAlignment="1">
      <alignment horizontal="center" vertical="center" wrapText="1"/>
    </xf>
    <xf numFmtId="0" fontId="13" fillId="0" borderId="0" xfId="9" applyFont="1" applyFill="1" applyBorder="1" applyAlignment="1">
      <alignment horizontal="center" vertical="center" wrapText="1"/>
    </xf>
    <xf numFmtId="0" fontId="7" fillId="2" borderId="0" xfId="9" applyFill="1" applyBorder="1" applyAlignment="1">
      <alignment horizontal="center" vertical="center" wrapText="1"/>
    </xf>
    <xf numFmtId="0" fontId="7" fillId="0" borderId="47" xfId="9" applyBorder="1" applyAlignment="1">
      <alignment horizontal="center" vertical="center" wrapText="1"/>
    </xf>
    <xf numFmtId="0" fontId="7" fillId="2" borderId="47" xfId="9" applyFont="1" applyFill="1" applyBorder="1" applyAlignment="1">
      <alignment horizontal="left" vertical="center" wrapText="1"/>
    </xf>
    <xf numFmtId="0" fontId="5" fillId="2" borderId="0" xfId="14" applyFont="1" applyFill="1" applyBorder="1" applyAlignment="1">
      <alignment vertical="center"/>
    </xf>
    <xf numFmtId="0" fontId="5" fillId="2" borderId="48" xfId="11" applyFont="1" applyFill="1" applyBorder="1" applyAlignment="1">
      <alignment vertical="center" wrapText="1"/>
    </xf>
    <xf numFmtId="0" fontId="7" fillId="2" borderId="48" xfId="9" applyFont="1" applyFill="1" applyBorder="1" applyAlignment="1">
      <alignment horizontal="left" vertical="center" wrapText="1"/>
    </xf>
    <xf numFmtId="0" fontId="5" fillId="2" borderId="49" xfId="11" applyFont="1" applyFill="1" applyBorder="1" applyAlignment="1">
      <alignment vertical="center" wrapText="1"/>
    </xf>
    <xf numFmtId="3" fontId="7" fillId="2" borderId="41" xfId="9" applyNumberFormat="1" applyFont="1" applyFill="1" applyBorder="1" applyAlignment="1">
      <alignment horizontal="center" vertical="center" wrapText="1"/>
    </xf>
    <xf numFmtId="0" fontId="5" fillId="0" borderId="44" xfId="13" applyFont="1" applyFill="1" applyBorder="1" applyAlignment="1">
      <alignment vertical="center" wrapText="1"/>
    </xf>
    <xf numFmtId="0" fontId="5" fillId="0" borderId="44" xfId="13" applyFont="1" applyFill="1" applyBorder="1" applyAlignment="1">
      <alignment horizontal="left" vertical="center" wrapText="1"/>
    </xf>
    <xf numFmtId="0" fontId="7" fillId="0" borderId="44" xfId="9" applyBorder="1" applyAlignment="1">
      <alignment horizontal="center" vertical="center" wrapText="1"/>
    </xf>
    <xf numFmtId="0" fontId="7" fillId="0" borderId="50" xfId="9" applyBorder="1" applyAlignment="1">
      <alignment horizontal="center" vertical="center" wrapText="1"/>
    </xf>
    <xf numFmtId="0" fontId="5" fillId="4" borderId="39" xfId="14" applyFont="1" applyFill="1" applyBorder="1" applyAlignment="1">
      <alignment vertical="center" wrapText="1"/>
    </xf>
    <xf numFmtId="0" fontId="7" fillId="2" borderId="41" xfId="9" applyFill="1" applyBorder="1" applyAlignment="1">
      <alignment horizontal="center" vertical="center" wrapText="1"/>
    </xf>
    <xf numFmtId="0" fontId="7" fillId="2" borderId="44" xfId="9" applyFont="1" applyFill="1" applyBorder="1" applyAlignment="1">
      <alignment horizontal="center" vertical="center" wrapText="1"/>
    </xf>
    <xf numFmtId="0" fontId="5" fillId="2" borderId="41" xfId="14" applyFont="1" applyFill="1" applyBorder="1" applyAlignment="1">
      <alignment vertical="center"/>
    </xf>
    <xf numFmtId="0" fontId="7" fillId="2" borderId="44" xfId="9" applyFont="1" applyFill="1" applyBorder="1" applyAlignment="1">
      <alignment horizontal="left" vertical="center" wrapText="1"/>
    </xf>
    <xf numFmtId="0" fontId="7" fillId="2" borderId="44" xfId="9" applyFill="1" applyBorder="1" applyAlignment="1">
      <alignment horizontal="left" vertical="center" wrapText="1"/>
    </xf>
    <xf numFmtId="0" fontId="5" fillId="2" borderId="50" xfId="14" applyFont="1" applyFill="1" applyBorder="1" applyAlignment="1">
      <alignment vertical="center" wrapText="1"/>
    </xf>
    <xf numFmtId="0" fontId="7" fillId="2" borderId="41" xfId="9" applyFill="1" applyBorder="1" applyAlignment="1">
      <alignment vertical="center" wrapText="1"/>
    </xf>
    <xf numFmtId="16" fontId="7" fillId="2" borderId="41" xfId="9" applyNumberFormat="1" applyFill="1" applyBorder="1" applyAlignment="1">
      <alignment horizontal="left" vertical="center" wrapText="1"/>
    </xf>
    <xf numFmtId="16" fontId="7" fillId="2" borderId="41" xfId="9" applyNumberFormat="1" applyFill="1" applyBorder="1" applyAlignment="1">
      <alignment horizontal="center" vertical="center" wrapText="1"/>
    </xf>
    <xf numFmtId="0" fontId="7" fillId="2" borderId="0" xfId="9" applyFont="1" applyFill="1" applyBorder="1" applyAlignment="1">
      <alignment horizontal="left" vertical="center" wrapText="1"/>
    </xf>
    <xf numFmtId="0" fontId="7" fillId="2" borderId="0" xfId="9" applyFill="1" applyBorder="1" applyAlignment="1">
      <alignment horizontal="left" vertical="center" wrapText="1"/>
    </xf>
    <xf numFmtId="0" fontId="5" fillId="2" borderId="46" xfId="14" applyFont="1" applyFill="1" applyBorder="1" applyAlignment="1">
      <alignment vertical="center" wrapText="1"/>
    </xf>
    <xf numFmtId="0" fontId="5" fillId="5" borderId="39" xfId="14" applyFont="1" applyFill="1" applyBorder="1" applyAlignment="1">
      <alignment vertical="center" wrapText="1"/>
    </xf>
    <xf numFmtId="0" fontId="5" fillId="4" borderId="51" xfId="14" applyFont="1" applyFill="1" applyBorder="1" applyAlignment="1">
      <alignment vertical="center" wrapText="1"/>
    </xf>
    <xf numFmtId="0" fontId="13" fillId="2" borderId="0" xfId="9" applyFont="1" applyFill="1" applyBorder="1" applyAlignment="1">
      <alignment horizontal="center" vertical="center" wrapText="1"/>
    </xf>
    <xf numFmtId="0" fontId="5" fillId="5" borderId="39" xfId="14" applyFont="1" applyFill="1" applyBorder="1" applyAlignment="1">
      <alignment horizontal="left" vertical="center" wrapText="1"/>
    </xf>
    <xf numFmtId="0" fontId="7" fillId="0" borderId="46" xfId="9" applyFill="1" applyBorder="1" applyAlignment="1">
      <alignment vertical="center" wrapText="1"/>
    </xf>
    <xf numFmtId="0" fontId="5" fillId="4" borderId="52" xfId="14" applyFont="1" applyFill="1" applyBorder="1" applyAlignment="1">
      <alignment vertical="center" wrapText="1"/>
    </xf>
    <xf numFmtId="0" fontId="7" fillId="0" borderId="53" xfId="9" applyFill="1" applyBorder="1" applyAlignment="1">
      <alignment vertical="center" wrapText="1"/>
    </xf>
    <xf numFmtId="0" fontId="7" fillId="0" borderId="0" xfId="9" applyFill="1" applyAlignment="1">
      <alignment vertical="center" wrapText="1"/>
    </xf>
    <xf numFmtId="3" fontId="7" fillId="0" borderId="0" xfId="9" applyNumberFormat="1" applyAlignment="1">
      <alignment horizontal="center" vertical="center" wrapText="1"/>
    </xf>
    <xf numFmtId="2" fontId="7" fillId="0" borderId="0" xfId="9" applyNumberFormat="1" applyAlignment="1">
      <alignment horizontal="center" vertical="center" wrapText="1"/>
    </xf>
    <xf numFmtId="38" fontId="5" fillId="0" borderId="33" xfId="14" applyNumberFormat="1" applyFont="1" applyFill="1" applyBorder="1" applyAlignment="1">
      <alignment vertical="center" wrapText="1"/>
    </xf>
    <xf numFmtId="164" fontId="7" fillId="0" borderId="0" xfId="9" applyNumberFormat="1" applyAlignment="1">
      <alignment horizontal="center" vertical="center" wrapText="1"/>
    </xf>
    <xf numFmtId="0" fontId="7" fillId="0" borderId="0" xfId="9" applyNumberFormat="1" applyFill="1" applyAlignment="1">
      <alignment horizontal="center" vertical="center" wrapText="1"/>
    </xf>
    <xf numFmtId="0" fontId="7" fillId="0" borderId="0" xfId="9" applyNumberFormat="1" applyFill="1" applyBorder="1" applyAlignment="1">
      <alignment horizontal="center" vertical="center" wrapText="1"/>
    </xf>
    <xf numFmtId="2" fontId="7" fillId="0" borderId="0" xfId="9" applyNumberFormat="1" applyFont="1" applyAlignment="1">
      <alignment horizontal="center" vertical="center" wrapText="1"/>
    </xf>
    <xf numFmtId="0" fontId="2" fillId="6" borderId="0" xfId="0" applyFont="1" applyFill="1"/>
    <xf numFmtId="0" fontId="23" fillId="6" borderId="0" xfId="0" applyFont="1" applyFill="1" applyAlignment="1">
      <alignment wrapText="1"/>
    </xf>
    <xf numFmtId="0" fontId="23" fillId="6" borderId="0" xfId="0" applyFont="1" applyFill="1" applyAlignment="1">
      <alignment horizontal="left" wrapText="1"/>
    </xf>
    <xf numFmtId="0" fontId="24" fillId="6" borderId="0" xfId="0" applyFont="1" applyFill="1"/>
    <xf numFmtId="0" fontId="25" fillId="6" borderId="0" xfId="0" applyFont="1" applyFill="1"/>
    <xf numFmtId="0" fontId="26" fillId="6" borderId="0" xfId="0" applyFont="1" applyFill="1" applyAlignment="1">
      <alignment wrapText="1"/>
    </xf>
    <xf numFmtId="0" fontId="22" fillId="0" borderId="0" xfId="0" applyFont="1"/>
    <xf numFmtId="0" fontId="27" fillId="0" borderId="0" xfId="0" applyFont="1" applyFill="1"/>
    <xf numFmtId="0" fontId="3" fillId="0" borderId="0" xfId="0" applyFont="1"/>
    <xf numFmtId="0" fontId="26" fillId="6" borderId="0" xfId="0" applyFont="1" applyFill="1" applyAlignment="1">
      <alignment horizontal="left" wrapText="1"/>
    </xf>
    <xf numFmtId="0" fontId="26" fillId="6" borderId="0" xfId="0" applyFont="1" applyFill="1" applyAlignment="1">
      <alignment horizontal="left"/>
    </xf>
    <xf numFmtId="0" fontId="22" fillId="0" borderId="0" xfId="0" applyFont="1" applyAlignment="1">
      <alignment horizontal="left" wrapText="1"/>
    </xf>
    <xf numFmtId="0" fontId="2" fillId="7" borderId="10" xfId="0" applyFont="1" applyFill="1" applyBorder="1" applyAlignment="1">
      <alignment horizontal="left" wrapText="1"/>
    </xf>
    <xf numFmtId="0" fontId="2" fillId="7" borderId="0" xfId="0" applyFont="1" applyFill="1" applyBorder="1" applyAlignment="1">
      <alignment horizontal="left" wrapText="1"/>
    </xf>
    <xf numFmtId="0" fontId="9" fillId="7" borderId="1" xfId="3" applyFont="1" applyFill="1" applyBorder="1" applyAlignment="1" applyProtection="1">
      <alignment horizontal="left" wrapText="1"/>
    </xf>
    <xf numFmtId="0" fontId="2" fillId="7" borderId="1" xfId="0" applyFont="1" applyFill="1" applyBorder="1" applyAlignment="1">
      <alignment horizontal="left" wrapText="1"/>
    </xf>
    <xf numFmtId="0" fontId="18" fillId="8" borderId="54" xfId="14" applyFont="1" applyFill="1" applyBorder="1" applyAlignment="1">
      <alignment horizontal="center"/>
    </xf>
    <xf numFmtId="0" fontId="18" fillId="8" borderId="55" xfId="14" applyFont="1" applyFill="1" applyBorder="1" applyAlignment="1">
      <alignment horizontal="center"/>
    </xf>
    <xf numFmtId="0" fontId="18" fillId="8" borderId="56" xfId="14" applyFont="1" applyFill="1" applyBorder="1" applyAlignment="1">
      <alignment horizontal="center"/>
    </xf>
    <xf numFmtId="0" fontId="19" fillId="9" borderId="1" xfId="14" applyFont="1" applyFill="1" applyBorder="1" applyAlignment="1">
      <alignment horizontal="center"/>
    </xf>
    <xf numFmtId="0" fontId="19" fillId="10" borderId="57" xfId="14" applyFont="1" applyFill="1" applyBorder="1" applyAlignment="1">
      <alignment horizontal="center"/>
    </xf>
    <xf numFmtId="0" fontId="19" fillId="10" borderId="58" xfId="14" applyFont="1" applyFill="1" applyBorder="1" applyAlignment="1">
      <alignment horizontal="center"/>
    </xf>
    <xf numFmtId="0" fontId="17" fillId="0" borderId="59" xfId="14" applyBorder="1" applyAlignment="1"/>
    <xf numFmtId="0" fontId="19" fillId="2" borderId="2" xfId="14" applyFont="1" applyFill="1" applyBorder="1" applyAlignment="1">
      <alignment horizontal="center"/>
    </xf>
    <xf numFmtId="0" fontId="19" fillId="2" borderId="60" xfId="14" applyFont="1" applyFill="1" applyBorder="1" applyAlignment="1">
      <alignment horizontal="center"/>
    </xf>
    <xf numFmtId="0" fontId="19" fillId="2" borderId="5" xfId="14" applyFont="1" applyFill="1" applyBorder="1" applyAlignment="1">
      <alignment horizontal="center"/>
    </xf>
    <xf numFmtId="0" fontId="19" fillId="2" borderId="61" xfId="14" applyFont="1" applyFill="1" applyBorder="1" applyAlignment="1">
      <alignment horizontal="center"/>
    </xf>
    <xf numFmtId="0" fontId="19" fillId="2" borderId="62" xfId="14" applyFont="1" applyFill="1" applyBorder="1" applyAlignment="1">
      <alignment horizontal="center" wrapText="1"/>
    </xf>
    <xf numFmtId="0" fontId="19" fillId="2" borderId="63" xfId="14" applyFont="1" applyFill="1" applyBorder="1" applyAlignment="1">
      <alignment horizontal="center" wrapText="1"/>
    </xf>
    <xf numFmtId="0" fontId="19" fillId="2" borderId="1" xfId="14" applyFont="1" applyFill="1" applyBorder="1" applyAlignment="1">
      <alignment horizontal="center" wrapText="1"/>
    </xf>
    <xf numFmtId="0" fontId="20" fillId="2" borderId="57" xfId="6" applyFont="1" applyFill="1" applyBorder="1" applyAlignment="1">
      <alignment horizontal="center"/>
    </xf>
    <xf numFmtId="0" fontId="17" fillId="0" borderId="59" xfId="14" applyBorder="1" applyAlignment="1">
      <alignment horizontal="center"/>
    </xf>
    <xf numFmtId="0" fontId="20" fillId="2" borderId="1" xfId="6" applyFont="1" applyFill="1" applyBorder="1" applyAlignment="1">
      <alignment horizontal="center"/>
    </xf>
    <xf numFmtId="0" fontId="17" fillId="0" borderId="1" xfId="14" applyBorder="1" applyAlignment="1">
      <alignment horizontal="center"/>
    </xf>
    <xf numFmtId="0" fontId="11" fillId="11" borderId="64" xfId="9" applyFont="1" applyFill="1" applyBorder="1" applyAlignment="1">
      <alignment horizontal="center" vertical="center" wrapText="1"/>
    </xf>
    <xf numFmtId="0" fontId="17" fillId="11" borderId="65" xfId="14" applyFont="1" applyFill="1" applyBorder="1" applyAlignment="1">
      <alignment vertical="center" wrapText="1"/>
    </xf>
    <xf numFmtId="0" fontId="17" fillId="11" borderId="66" xfId="14" applyFont="1" applyFill="1" applyBorder="1" applyAlignment="1">
      <alignment vertical="center" wrapText="1"/>
    </xf>
    <xf numFmtId="0" fontId="10" fillId="3" borderId="34" xfId="9" applyFont="1" applyFill="1" applyBorder="1" applyAlignment="1">
      <alignment horizontal="center" vertical="center" wrapText="1"/>
    </xf>
    <xf numFmtId="0" fontId="10" fillId="3" borderId="67" xfId="9" applyFont="1" applyFill="1" applyBorder="1" applyAlignment="1">
      <alignment horizontal="center" vertical="center" wrapText="1"/>
    </xf>
    <xf numFmtId="0" fontId="10" fillId="3" borderId="34" xfId="9" applyFont="1" applyFill="1" applyBorder="1" applyAlignment="1">
      <alignment horizontal="left" vertical="center" wrapText="1"/>
    </xf>
    <xf numFmtId="0" fontId="10" fillId="3" borderId="67" xfId="9" applyFont="1" applyFill="1" applyBorder="1" applyAlignment="1">
      <alignment horizontal="left" vertical="center" wrapText="1"/>
    </xf>
    <xf numFmtId="0" fontId="10" fillId="3" borderId="68" xfId="9" applyFont="1" applyFill="1" applyBorder="1" applyAlignment="1">
      <alignment horizontal="center" vertical="center" wrapText="1"/>
    </xf>
    <xf numFmtId="0" fontId="10" fillId="3" borderId="69" xfId="9" applyFont="1" applyFill="1" applyBorder="1" applyAlignment="1">
      <alignment horizontal="center" vertical="center" wrapText="1"/>
    </xf>
    <xf numFmtId="0" fontId="10" fillId="3" borderId="70" xfId="9" applyFont="1" applyFill="1" applyBorder="1" applyAlignment="1">
      <alignment horizontal="center" vertical="center" wrapText="1"/>
    </xf>
    <xf numFmtId="0" fontId="10" fillId="3" borderId="0" xfId="9" applyFont="1" applyFill="1" applyBorder="1" applyAlignment="1">
      <alignment horizontal="center" vertical="center" wrapText="1"/>
    </xf>
    <xf numFmtId="0" fontId="10" fillId="3" borderId="1" xfId="9" applyFont="1" applyFill="1" applyBorder="1" applyAlignment="1">
      <alignment horizontal="center" vertical="center" wrapText="1"/>
    </xf>
    <xf numFmtId="0" fontId="10" fillId="3" borderId="57" xfId="9" applyFont="1" applyFill="1" applyBorder="1" applyAlignment="1">
      <alignment horizontal="center" vertical="center" wrapText="1"/>
    </xf>
    <xf numFmtId="0" fontId="10" fillId="3" borderId="71" xfId="9" applyFont="1" applyFill="1" applyBorder="1" applyAlignment="1">
      <alignment horizontal="center" vertical="center" wrapText="1"/>
    </xf>
    <xf numFmtId="0" fontId="10" fillId="3" borderId="72" xfId="9" applyFont="1" applyFill="1" applyBorder="1" applyAlignment="1">
      <alignment horizontal="center" vertical="center" wrapText="1"/>
    </xf>
    <xf numFmtId="0" fontId="10" fillId="3" borderId="73" xfId="9" applyFont="1" applyFill="1" applyBorder="1" applyAlignment="1">
      <alignment horizontal="center" vertical="center" wrapText="1"/>
    </xf>
    <xf numFmtId="0" fontId="10" fillId="3" borderId="74" xfId="9" applyFont="1" applyFill="1" applyBorder="1" applyAlignment="1">
      <alignment horizontal="center" vertical="center" wrapText="1"/>
    </xf>
    <xf numFmtId="2" fontId="10" fillId="12" borderId="34" xfId="9" applyNumberFormat="1" applyFont="1" applyFill="1" applyBorder="1" applyAlignment="1">
      <alignment horizontal="center" vertical="center" wrapText="1"/>
    </xf>
    <xf numFmtId="0" fontId="7" fillId="12" borderId="67" xfId="9" applyFill="1" applyBorder="1" applyAlignment="1">
      <alignment horizontal="center" vertical="center" wrapText="1"/>
    </xf>
    <xf numFmtId="0" fontId="10" fillId="3" borderId="75" xfId="9" applyFont="1" applyFill="1" applyBorder="1" applyAlignment="1">
      <alignment horizontal="center" vertical="center" wrapText="1"/>
    </xf>
    <xf numFmtId="0" fontId="10" fillId="3" borderId="76" xfId="9" applyFont="1" applyFill="1" applyBorder="1" applyAlignment="1">
      <alignment horizontal="center" vertical="center" wrapText="1"/>
    </xf>
    <xf numFmtId="3" fontId="10" fillId="3" borderId="34" xfId="9" applyNumberFormat="1" applyFont="1" applyFill="1" applyBorder="1" applyAlignment="1">
      <alignment horizontal="center" vertical="center" wrapText="1"/>
    </xf>
    <xf numFmtId="3" fontId="10" fillId="3" borderId="67" xfId="9" applyNumberFormat="1" applyFont="1" applyFill="1" applyBorder="1" applyAlignment="1">
      <alignment horizontal="center" vertical="center" wrapText="1"/>
    </xf>
    <xf numFmtId="0" fontId="10" fillId="12" borderId="34" xfId="9" applyFont="1" applyFill="1" applyBorder="1" applyAlignment="1">
      <alignment horizontal="center" vertical="center" wrapText="1"/>
    </xf>
    <xf numFmtId="0" fontId="10" fillId="12" borderId="67" xfId="9" applyFont="1" applyFill="1" applyBorder="1" applyAlignment="1">
      <alignment horizontal="center" vertical="center" wrapText="1"/>
    </xf>
    <xf numFmtId="0" fontId="10" fillId="3" borderId="4" xfId="9" applyFont="1" applyFill="1" applyBorder="1" applyAlignment="1">
      <alignment horizontal="center" vertical="center" wrapText="1"/>
    </xf>
    <xf numFmtId="0" fontId="10" fillId="3" borderId="10" xfId="9" applyFont="1" applyFill="1" applyBorder="1" applyAlignment="1">
      <alignment horizontal="center" vertical="center" wrapText="1"/>
    </xf>
    <xf numFmtId="0" fontId="10" fillId="3" borderId="77" xfId="9" applyFont="1" applyFill="1" applyBorder="1" applyAlignment="1">
      <alignment horizontal="center" vertical="center" wrapText="1"/>
    </xf>
    <xf numFmtId="0" fontId="10" fillId="3" borderId="78" xfId="9" applyFont="1" applyFill="1" applyBorder="1" applyAlignment="1">
      <alignment horizontal="center" vertical="center" wrapText="1"/>
    </xf>
    <xf numFmtId="0" fontId="10" fillId="3" borderId="79" xfId="9" applyFont="1" applyFill="1" applyBorder="1" applyAlignment="1">
      <alignment horizontal="center" vertical="center" wrapText="1"/>
    </xf>
    <xf numFmtId="0" fontId="10" fillId="3" borderId="38" xfId="9" applyFont="1" applyFill="1" applyBorder="1" applyAlignment="1">
      <alignment horizontal="center" vertical="center" wrapText="1"/>
    </xf>
    <xf numFmtId="0" fontId="10" fillId="3" borderId="80" xfId="9" applyFont="1" applyFill="1" applyBorder="1" applyAlignment="1">
      <alignment horizontal="center" vertical="center" wrapText="1"/>
    </xf>
    <xf numFmtId="2" fontId="10" fillId="3" borderId="34" xfId="9" applyNumberFormat="1" applyFont="1" applyFill="1" applyBorder="1" applyAlignment="1">
      <alignment horizontal="center" vertical="center" wrapText="1"/>
    </xf>
    <xf numFmtId="2" fontId="7" fillId="0" borderId="67" xfId="9" applyNumberFormat="1" applyBorder="1" applyAlignment="1">
      <alignment horizontal="center" vertical="center" wrapText="1"/>
    </xf>
    <xf numFmtId="0" fontId="7" fillId="0" borderId="67" xfId="9" applyBorder="1" applyAlignment="1">
      <alignment horizontal="center" vertical="center" wrapText="1"/>
    </xf>
    <xf numFmtId="164" fontId="10" fillId="12" borderId="34" xfId="9" applyNumberFormat="1" applyFont="1" applyFill="1" applyBorder="1" applyAlignment="1">
      <alignment horizontal="center" vertical="center" wrapText="1"/>
    </xf>
    <xf numFmtId="164" fontId="10" fillId="12" borderId="67" xfId="9" applyNumberFormat="1" applyFont="1" applyFill="1" applyBorder="1" applyAlignment="1">
      <alignment horizontal="center" vertical="center" wrapText="1"/>
    </xf>
    <xf numFmtId="15" fontId="10" fillId="3" borderId="81" xfId="9" applyNumberFormat="1" applyFont="1" applyFill="1" applyBorder="1" applyAlignment="1">
      <alignment horizontal="center" vertical="center" wrapText="1"/>
    </xf>
    <xf numFmtId="0" fontId="10" fillId="3" borderId="81" xfId="9" applyNumberFormat="1" applyFont="1" applyFill="1" applyBorder="1" applyAlignment="1">
      <alignment horizontal="center" vertical="center" wrapText="1"/>
    </xf>
    <xf numFmtId="0" fontId="10" fillId="3" borderId="82" xfId="9" applyNumberFormat="1" applyFont="1" applyFill="1" applyBorder="1" applyAlignment="1">
      <alignment horizontal="center" vertical="center" wrapText="1"/>
    </xf>
    <xf numFmtId="0" fontId="10" fillId="12" borderId="83" xfId="9" applyFont="1" applyFill="1" applyBorder="1" applyAlignment="1">
      <alignment horizontal="center" vertical="center" wrapText="1"/>
    </xf>
    <xf numFmtId="0" fontId="10" fillId="12" borderId="81" xfId="9" applyFont="1" applyFill="1" applyBorder="1" applyAlignment="1">
      <alignment horizontal="center" vertical="center" wrapText="1"/>
    </xf>
    <xf numFmtId="0" fontId="7" fillId="12" borderId="81" xfId="9" applyFill="1" applyBorder="1" applyAlignment="1">
      <alignment horizontal="center" vertical="center" wrapText="1"/>
    </xf>
    <xf numFmtId="2" fontId="7" fillId="12" borderId="67" xfId="9" applyNumberFormat="1" applyFill="1" applyBorder="1" applyAlignment="1">
      <alignment horizontal="center" vertical="center" wrapText="1"/>
    </xf>
  </cellXfs>
  <cellStyles count="17">
    <cellStyle name="          _x000d__x000a_386grabber=VGA.3GR_x000d__x000a_" xfId="1"/>
    <cellStyle name="Comma 2" xfId="2"/>
    <cellStyle name="Hyperlink" xfId="3" builtinId="8"/>
    <cellStyle name="Hyperlink 2" xfId="4"/>
    <cellStyle name="Normal" xfId="0" builtinId="0"/>
    <cellStyle name="Normal 2" xfId="5"/>
    <cellStyle name="Normal 2 2" xfId="6"/>
    <cellStyle name="Normal 2_US_SUPPLIER-Exception Reports_formatted_07062009_Sample Population_v1" xfId="7"/>
    <cellStyle name="Normal 3" xfId="8"/>
    <cellStyle name="Normal 3 2" xfId="9"/>
    <cellStyle name="Normal 4" xfId="10"/>
    <cellStyle name="Normal 4 2" xfId="11"/>
    <cellStyle name="Normal 5" xfId="12"/>
    <cellStyle name="Normal_SHEET" xfId="13"/>
    <cellStyle name="Normal_US Remediation Plan- July 21 data" xfId="14"/>
    <cellStyle name="Percent 2" xfId="15"/>
    <cellStyle name="Percent 3" xfId="16"/>
  </cellStyles>
  <dxfs count="6">
    <dxf>
      <fill>
        <patternFill>
          <bgColor indexed="13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23"/>
        </patternFill>
      </fill>
    </dxf>
    <dxf>
      <fill>
        <patternFill>
          <bgColor indexed="13"/>
        </patternFill>
      </fill>
    </dxf>
    <dxf>
      <fill>
        <patternFill>
          <bgColor indexed="2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47625</xdr:rowOff>
    </xdr:from>
    <xdr:to>
      <xdr:col>6</xdr:col>
      <xdr:colOff>19050</xdr:colOff>
      <xdr:row>19</xdr:row>
      <xdr:rowOff>66675</xdr:rowOff>
    </xdr:to>
    <xdr:sp macro="[0]!Button1_Click" textlink="">
      <xdr:nvSpPr>
        <xdr:cNvPr id="2" name="Rounded Rectangle 1"/>
        <xdr:cNvSpPr/>
      </xdr:nvSpPr>
      <xdr:spPr>
        <a:xfrm>
          <a:off x="7010399" y="3781425"/>
          <a:ext cx="2038351" cy="3429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lIns="91440" rIns="91440" rtlCol="0" anchor="ctr"/>
        <a:lstStyle/>
        <a:p>
          <a:pPr algn="ctr"/>
          <a:r>
            <a:rPr lang="en-US" sz="1400" b="1" i="1" baseline="0">
              <a:latin typeface="Verdana" pitchFamily="34" charset="0"/>
            </a:rPr>
            <a:t>Convert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7"/>
  <sheetViews>
    <sheetView showGridLines="0" tabSelected="1" workbookViewId="0">
      <selection activeCell="A14" sqref="A14:D14"/>
    </sheetView>
  </sheetViews>
  <sheetFormatPr defaultRowHeight="12.75" x14ac:dyDescent="0.2"/>
  <cols>
    <col min="1" max="1" width="6.5703125" style="1" customWidth="1"/>
    <col min="2" max="2" width="48.140625" style="1" customWidth="1"/>
    <col min="3" max="3" width="35.5703125" style="1" customWidth="1"/>
    <col min="4" max="4" width="9.140625" style="1"/>
    <col min="5" max="5" width="9.85546875" style="1" customWidth="1"/>
    <col min="6" max="6" width="8.7109375" style="1" customWidth="1"/>
    <col min="7" max="7" width="9.28515625" style="1" customWidth="1"/>
    <col min="8" max="16384" width="9.140625" style="1"/>
  </cols>
  <sheetData>
    <row r="1" spans="1:16" x14ac:dyDescent="0.2">
      <c r="A1" s="134"/>
      <c r="B1" s="134"/>
      <c r="C1" s="134"/>
      <c r="D1" s="134"/>
      <c r="E1" s="134"/>
      <c r="F1" s="134"/>
    </row>
    <row r="2" spans="1:16" ht="18" x14ac:dyDescent="0.25">
      <c r="A2" s="137" t="s">
        <v>239</v>
      </c>
      <c r="B2" s="138"/>
      <c r="C2" s="138"/>
      <c r="D2" s="138"/>
      <c r="E2" s="138"/>
      <c r="F2" s="138"/>
    </row>
    <row r="3" spans="1:16" x14ac:dyDescent="0.2">
      <c r="A3" s="144" t="s">
        <v>240</v>
      </c>
      <c r="B3" s="144"/>
      <c r="C3" s="144"/>
      <c r="D3" s="144"/>
      <c r="E3" s="144"/>
      <c r="F3" s="144"/>
      <c r="G3" s="7"/>
      <c r="H3" s="7"/>
      <c r="I3" s="7"/>
      <c r="J3" s="7"/>
      <c r="K3" s="7"/>
      <c r="L3" s="141" t="e">
        <f>MID(filename,FIND("_",filename,FIND("_",filename,FIND("_",filename,FIND("_",filename,1)+1)+1)+1)+1,6)</f>
        <v>#REF!</v>
      </c>
      <c r="M3" s="7"/>
      <c r="N3" s="7"/>
      <c r="O3" s="7"/>
      <c r="P3" s="7"/>
    </row>
    <row r="4" spans="1:16" ht="29.25" customHeight="1" x14ac:dyDescent="0.2">
      <c r="A4" s="143" t="s">
        <v>243</v>
      </c>
      <c r="B4" s="143"/>
      <c r="C4" s="143"/>
      <c r="D4" s="143"/>
      <c r="E4" s="143"/>
      <c r="F4" s="143"/>
      <c r="G4" s="8"/>
      <c r="H4" s="8"/>
      <c r="I4" s="8"/>
      <c r="J4" s="8"/>
      <c r="K4" s="8"/>
      <c r="L4" s="8"/>
      <c r="M4" s="8"/>
      <c r="N4" s="8"/>
      <c r="O4" s="8"/>
      <c r="P4" s="8"/>
    </row>
    <row r="5" spans="1:16" ht="12.75" customHeight="1" x14ac:dyDescent="0.2">
      <c r="A5" s="143"/>
      <c r="B5" s="143"/>
      <c r="C5" s="143"/>
      <c r="D5" s="143"/>
      <c r="E5" s="143"/>
      <c r="F5" s="139"/>
      <c r="G5" s="8"/>
      <c r="H5" s="8"/>
      <c r="I5" s="8"/>
      <c r="J5" s="8"/>
      <c r="K5" s="8"/>
      <c r="L5" s="8"/>
      <c r="M5" s="8"/>
      <c r="N5" s="8"/>
    </row>
    <row r="6" spans="1:16" ht="12.75" customHeight="1" x14ac:dyDescent="0.2">
      <c r="A6" s="136"/>
      <c r="B6" s="136"/>
      <c r="C6" s="136"/>
      <c r="D6" s="136"/>
      <c r="E6" s="136"/>
      <c r="F6" s="135"/>
      <c r="G6" s="8"/>
      <c r="H6" s="8"/>
      <c r="I6" s="8"/>
      <c r="J6" s="8"/>
      <c r="K6" s="8"/>
      <c r="L6" s="8"/>
      <c r="M6" s="8"/>
      <c r="N6" s="8"/>
    </row>
    <row r="7" spans="1:16" x14ac:dyDescent="0.2">
      <c r="A7" s="2"/>
    </row>
    <row r="8" spans="1:16" ht="16.5" hidden="1" customHeight="1" x14ac:dyDescent="0.2">
      <c r="A8" s="146" t="e">
        <f ca="1">LEFT(PATH,SEARCH("[",PATH)-2)</f>
        <v>#REF!</v>
      </c>
      <c r="B8" s="147"/>
      <c r="C8" s="147"/>
      <c r="D8" s="147"/>
      <c r="E8" s="1" t="e">
        <f ca="1">CELL("filename",DATE)</f>
        <v>#REF!</v>
      </c>
      <c r="F8" s="1" t="e">
        <f ca="1">MID(PATH,SEARCH("[",PATH)+1,LEN(PATH)-SEARCH("[",PATH)-6)</f>
        <v>#REF!</v>
      </c>
      <c r="I8" s="6"/>
      <c r="J8" s="6"/>
    </row>
    <row r="9" spans="1:16" x14ac:dyDescent="0.2">
      <c r="A9" s="3"/>
      <c r="B9" s="3"/>
      <c r="C9" s="3"/>
      <c r="D9" s="3"/>
    </row>
    <row r="10" spans="1:16" x14ac:dyDescent="0.2">
      <c r="A10" s="140" t="s">
        <v>242</v>
      </c>
    </row>
    <row r="11" spans="1:16" ht="30" customHeight="1" x14ac:dyDescent="0.2">
      <c r="A11" s="148"/>
      <c r="B11" s="149"/>
      <c r="C11" s="149"/>
      <c r="D11" s="149"/>
    </row>
    <row r="12" spans="1:16" s="5" customFormat="1" x14ac:dyDescent="0.2">
      <c r="A12" s="4"/>
      <c r="B12" s="4"/>
      <c r="C12" s="4"/>
      <c r="D12" s="4"/>
    </row>
    <row r="13" spans="1:16" x14ac:dyDescent="0.2">
      <c r="A13" s="140" t="s">
        <v>241</v>
      </c>
    </row>
    <row r="14" spans="1:16" ht="32.25" customHeight="1" x14ac:dyDescent="0.2">
      <c r="A14" s="148"/>
      <c r="B14" s="149"/>
      <c r="C14" s="149"/>
      <c r="D14" s="149"/>
    </row>
    <row r="16" spans="1:16" x14ac:dyDescent="0.2">
      <c r="A16" s="142" t="s">
        <v>244</v>
      </c>
      <c r="D16" s="145" t="s">
        <v>0</v>
      </c>
      <c r="E16" s="145"/>
      <c r="F16" s="145"/>
    </row>
    <row r="17" spans="4:6" ht="29.25" customHeight="1" x14ac:dyDescent="0.2">
      <c r="D17" s="145"/>
      <c r="E17" s="145"/>
      <c r="F17" s="145"/>
    </row>
  </sheetData>
  <mergeCells count="7">
    <mergeCell ref="A4:F4"/>
    <mergeCell ref="A3:F3"/>
    <mergeCell ref="D16:F17"/>
    <mergeCell ref="A8:D8"/>
    <mergeCell ref="A11:D11"/>
    <mergeCell ref="A14:D14"/>
    <mergeCell ref="A5:E5"/>
  </mergeCells>
  <phoneticPr fontId="5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4"/>
  <sheetViews>
    <sheetView workbookViewId="0">
      <selection sqref="A1:C1"/>
    </sheetView>
  </sheetViews>
  <sheetFormatPr defaultRowHeight="12.75" x14ac:dyDescent="0.2"/>
  <cols>
    <col min="1" max="1" width="9.140625" style="56"/>
    <col min="2" max="2" width="25.42578125" style="56" customWidth="1"/>
    <col min="3" max="3" width="13.85546875" style="56" customWidth="1"/>
    <col min="4" max="4" width="11.85546875" style="56" customWidth="1"/>
    <col min="5" max="5" width="17.140625" style="56" customWidth="1"/>
    <col min="6" max="6" width="11.85546875" style="56" customWidth="1"/>
    <col min="7" max="7" width="18.5703125" style="56" customWidth="1"/>
    <col min="8" max="8" width="0" style="56" hidden="1" customWidth="1"/>
    <col min="9" max="9" width="18.7109375" style="56" hidden="1" customWidth="1"/>
    <col min="10" max="10" width="10.42578125" style="56" hidden="1" customWidth="1"/>
    <col min="11" max="11" width="0" style="56" hidden="1" customWidth="1"/>
    <col min="12" max="13" width="9.140625" style="56"/>
    <col min="14" max="14" width="9.7109375" style="56" customWidth="1"/>
    <col min="15" max="15" width="10.28515625" style="56" customWidth="1"/>
    <col min="16" max="16384" width="9.140625" style="56"/>
  </cols>
  <sheetData>
    <row r="1" spans="1:12" s="9" customFormat="1" x14ac:dyDescent="0.2">
      <c r="A1" s="150"/>
      <c r="B1" s="151"/>
      <c r="C1" s="152"/>
      <c r="D1" s="153" t="s">
        <v>45</v>
      </c>
      <c r="E1" s="153"/>
      <c r="F1" s="153"/>
      <c r="G1" s="153"/>
      <c r="H1" s="154" t="s">
        <v>2</v>
      </c>
      <c r="I1" s="155"/>
      <c r="J1" s="155"/>
      <c r="K1" s="156"/>
    </row>
    <row r="2" spans="1:12" s="9" customFormat="1" ht="12" customHeight="1" x14ac:dyDescent="0.2">
      <c r="A2" s="157" t="s">
        <v>46</v>
      </c>
      <c r="B2" s="159" t="s">
        <v>47</v>
      </c>
      <c r="C2" s="161" t="s">
        <v>48</v>
      </c>
      <c r="D2" s="163" t="s">
        <v>5</v>
      </c>
      <c r="E2" s="11" t="s">
        <v>6</v>
      </c>
      <c r="F2" s="164" t="s">
        <v>49</v>
      </c>
      <c r="G2" s="165"/>
      <c r="H2" s="10" t="s">
        <v>5</v>
      </c>
      <c r="I2" s="11" t="s">
        <v>6</v>
      </c>
      <c r="J2" s="166" t="s">
        <v>7</v>
      </c>
      <c r="K2" s="167"/>
    </row>
    <row r="3" spans="1:12" s="9" customFormat="1" ht="12" x14ac:dyDescent="0.2">
      <c r="A3" s="158"/>
      <c r="B3" s="160"/>
      <c r="C3" s="162"/>
      <c r="D3" s="163"/>
      <c r="E3" s="12" t="s">
        <v>8</v>
      </c>
      <c r="F3" s="12" t="s">
        <v>8</v>
      </c>
      <c r="G3" s="13" t="s">
        <v>50</v>
      </c>
      <c r="H3" s="12" t="s">
        <v>8</v>
      </c>
      <c r="I3" s="12" t="s">
        <v>8</v>
      </c>
      <c r="J3" s="12" t="s">
        <v>8</v>
      </c>
      <c r="K3" s="12" t="s">
        <v>50</v>
      </c>
    </row>
    <row r="4" spans="1:12" s="9" customFormat="1" ht="12" x14ac:dyDescent="0.2">
      <c r="A4" s="14" t="s">
        <v>9</v>
      </c>
      <c r="B4" s="14" t="s">
        <v>11</v>
      </c>
      <c r="C4" s="15">
        <v>0</v>
      </c>
      <c r="D4" s="16">
        <v>0</v>
      </c>
      <c r="E4" s="17">
        <v>0</v>
      </c>
      <c r="F4" s="17">
        <v>0</v>
      </c>
      <c r="G4" s="18" t="e">
        <f>1-F4/D4</f>
        <v>#DIV/0!</v>
      </c>
      <c r="H4" s="19"/>
      <c r="I4" s="17"/>
      <c r="J4" s="17"/>
      <c r="K4" s="20"/>
    </row>
    <row r="5" spans="1:12" s="9" customFormat="1" ht="12" x14ac:dyDescent="0.2">
      <c r="A5" s="21"/>
      <c r="B5" s="22" t="s">
        <v>13</v>
      </c>
      <c r="C5" s="23">
        <v>0</v>
      </c>
      <c r="D5" s="24">
        <v>0</v>
      </c>
      <c r="E5" s="25">
        <v>0</v>
      </c>
      <c r="F5" s="25">
        <v>0</v>
      </c>
      <c r="G5" s="26" t="e">
        <f t="shared" ref="G5:G22" si="0">1-F5/D5</f>
        <v>#DIV/0!</v>
      </c>
      <c r="H5" s="27"/>
      <c r="I5" s="25"/>
      <c r="J5" s="25"/>
      <c r="K5" s="28"/>
    </row>
    <row r="6" spans="1:12" s="9" customFormat="1" ht="12" x14ac:dyDescent="0.2">
      <c r="A6" s="21"/>
      <c r="B6" s="22" t="s">
        <v>10</v>
      </c>
      <c r="C6" s="23">
        <v>0</v>
      </c>
      <c r="D6" s="24">
        <v>0</v>
      </c>
      <c r="E6" s="25">
        <v>0</v>
      </c>
      <c r="F6" s="25">
        <v>0</v>
      </c>
      <c r="G6" s="26" t="e">
        <f t="shared" si="0"/>
        <v>#DIV/0!</v>
      </c>
      <c r="H6" s="27"/>
      <c r="I6" s="25"/>
      <c r="J6" s="25"/>
      <c r="K6" s="28"/>
    </row>
    <row r="7" spans="1:12" s="9" customFormat="1" ht="12" x14ac:dyDescent="0.2">
      <c r="A7" s="21"/>
      <c r="B7" s="22" t="s">
        <v>51</v>
      </c>
      <c r="C7" s="23">
        <v>0</v>
      </c>
      <c r="D7" s="24">
        <v>0</v>
      </c>
      <c r="E7" s="25">
        <v>0</v>
      </c>
      <c r="F7" s="25">
        <v>0</v>
      </c>
      <c r="G7" s="26" t="e">
        <f t="shared" si="0"/>
        <v>#DIV/0!</v>
      </c>
      <c r="H7" s="27"/>
      <c r="I7" s="25"/>
      <c r="J7" s="25"/>
      <c r="K7" s="28"/>
    </row>
    <row r="8" spans="1:12" s="9" customFormat="1" ht="12" x14ac:dyDescent="0.2">
      <c r="A8" s="21"/>
      <c r="B8" s="22" t="s">
        <v>52</v>
      </c>
      <c r="C8" s="23">
        <v>0</v>
      </c>
      <c r="D8" s="24">
        <v>0</v>
      </c>
      <c r="E8" s="25">
        <v>0</v>
      </c>
      <c r="F8" s="25">
        <v>0</v>
      </c>
      <c r="G8" s="26" t="e">
        <f t="shared" si="0"/>
        <v>#DIV/0!</v>
      </c>
      <c r="H8" s="27"/>
      <c r="I8" s="25"/>
      <c r="J8" s="25"/>
      <c r="K8" s="28"/>
    </row>
    <row r="9" spans="1:12" s="9" customFormat="1" ht="12" x14ac:dyDescent="0.2">
      <c r="A9" s="21"/>
      <c r="B9" s="22" t="s">
        <v>44</v>
      </c>
      <c r="C9" s="23">
        <v>0</v>
      </c>
      <c r="D9" s="24">
        <v>0</v>
      </c>
      <c r="E9" s="25">
        <v>0</v>
      </c>
      <c r="F9" s="25">
        <v>0</v>
      </c>
      <c r="G9" s="26" t="e">
        <f t="shared" si="0"/>
        <v>#DIV/0!</v>
      </c>
      <c r="H9" s="27"/>
      <c r="I9" s="25"/>
      <c r="J9" s="25"/>
      <c r="K9" s="28"/>
    </row>
    <row r="10" spans="1:12" s="9" customFormat="1" ht="12" x14ac:dyDescent="0.2">
      <c r="A10" s="21"/>
      <c r="B10" s="29" t="s">
        <v>14</v>
      </c>
      <c r="C10" s="23">
        <v>0</v>
      </c>
      <c r="D10" s="24">
        <v>0</v>
      </c>
      <c r="E10" s="25">
        <v>0</v>
      </c>
      <c r="F10" s="25">
        <v>0</v>
      </c>
      <c r="G10" s="26" t="e">
        <f t="shared" si="0"/>
        <v>#DIV/0!</v>
      </c>
      <c r="H10" s="27"/>
      <c r="I10" s="25"/>
      <c r="J10" s="25"/>
      <c r="K10" s="28"/>
    </row>
    <row r="11" spans="1:12" s="9" customFormat="1" ht="12" x14ac:dyDescent="0.2">
      <c r="A11" s="21"/>
      <c r="B11" s="22" t="s">
        <v>12</v>
      </c>
      <c r="C11" s="23">
        <v>0</v>
      </c>
      <c r="D11" s="24">
        <v>0</v>
      </c>
      <c r="E11" s="25">
        <v>0</v>
      </c>
      <c r="F11" s="25">
        <v>0</v>
      </c>
      <c r="G11" s="26" t="e">
        <f t="shared" si="0"/>
        <v>#DIV/0!</v>
      </c>
      <c r="H11" s="27"/>
      <c r="I11" s="25"/>
      <c r="J11" s="25"/>
      <c r="K11" s="28"/>
    </row>
    <row r="12" spans="1:12" s="9" customFormat="1" thickBot="1" x14ac:dyDescent="0.25">
      <c r="A12" s="30" t="s">
        <v>15</v>
      </c>
      <c r="B12" s="31"/>
      <c r="C12" s="32">
        <f>SUM(C4:C11)</f>
        <v>0</v>
      </c>
      <c r="D12" s="33">
        <v>0</v>
      </c>
      <c r="E12" s="34">
        <f>SUM(E4:E11)</f>
        <v>0</v>
      </c>
      <c r="F12" s="34">
        <v>0</v>
      </c>
      <c r="G12" s="35" t="e">
        <f t="shared" si="0"/>
        <v>#DIV/0!</v>
      </c>
      <c r="H12" s="36"/>
      <c r="I12" s="34"/>
      <c r="J12" s="34"/>
      <c r="K12" s="37"/>
      <c r="L12" s="38"/>
    </row>
    <row r="13" spans="1:12" s="9" customFormat="1" ht="12" x14ac:dyDescent="0.2">
      <c r="A13" s="22" t="s">
        <v>53</v>
      </c>
      <c r="B13" s="22" t="s">
        <v>11</v>
      </c>
      <c r="C13" s="39">
        <v>0</v>
      </c>
      <c r="D13" s="16">
        <v>0</v>
      </c>
      <c r="E13" s="25">
        <v>0</v>
      </c>
      <c r="F13" s="25">
        <v>0</v>
      </c>
      <c r="G13" s="26" t="e">
        <f t="shared" si="0"/>
        <v>#DIV/0!</v>
      </c>
      <c r="H13" s="27"/>
      <c r="I13" s="25"/>
      <c r="J13" s="25"/>
      <c r="K13" s="28"/>
    </row>
    <row r="14" spans="1:12" s="9" customFormat="1" ht="12" x14ac:dyDescent="0.2">
      <c r="A14" s="21"/>
      <c r="B14" s="22" t="s">
        <v>13</v>
      </c>
      <c r="C14" s="39">
        <v>0</v>
      </c>
      <c r="D14" s="24">
        <v>0</v>
      </c>
      <c r="E14" s="25">
        <v>0</v>
      </c>
      <c r="F14" s="25">
        <v>0</v>
      </c>
      <c r="G14" s="26" t="e">
        <f t="shared" si="0"/>
        <v>#DIV/0!</v>
      </c>
      <c r="H14" s="27"/>
      <c r="I14" s="25"/>
      <c r="J14" s="25"/>
      <c r="K14" s="28"/>
    </row>
    <row r="15" spans="1:12" s="9" customFormat="1" ht="12" x14ac:dyDescent="0.2">
      <c r="A15" s="21"/>
      <c r="B15" s="22" t="s">
        <v>10</v>
      </c>
      <c r="C15" s="39">
        <v>0</v>
      </c>
      <c r="D15" s="24">
        <v>0</v>
      </c>
      <c r="E15" s="25">
        <v>0</v>
      </c>
      <c r="F15" s="25">
        <v>0</v>
      </c>
      <c r="G15" s="26" t="e">
        <f t="shared" si="0"/>
        <v>#DIV/0!</v>
      </c>
      <c r="H15" s="27"/>
      <c r="I15" s="25"/>
      <c r="J15" s="25"/>
      <c r="K15" s="28"/>
    </row>
    <row r="16" spans="1:12" s="9" customFormat="1" ht="12" x14ac:dyDescent="0.2">
      <c r="A16" s="21"/>
      <c r="B16" s="22" t="s">
        <v>51</v>
      </c>
      <c r="C16" s="39">
        <v>0</v>
      </c>
      <c r="D16" s="24">
        <v>0</v>
      </c>
      <c r="E16" s="25">
        <v>0</v>
      </c>
      <c r="F16" s="25">
        <v>0</v>
      </c>
      <c r="G16" s="26" t="e">
        <f t="shared" si="0"/>
        <v>#DIV/0!</v>
      </c>
      <c r="H16" s="27"/>
      <c r="I16" s="25"/>
      <c r="J16" s="25"/>
      <c r="K16" s="28"/>
    </row>
    <row r="17" spans="1:11" s="9" customFormat="1" ht="12" x14ac:dyDescent="0.2">
      <c r="A17" s="21"/>
      <c r="B17" s="22" t="s">
        <v>52</v>
      </c>
      <c r="C17" s="39">
        <v>0</v>
      </c>
      <c r="D17" s="24">
        <v>0</v>
      </c>
      <c r="E17" s="25">
        <v>0</v>
      </c>
      <c r="F17" s="25">
        <v>0</v>
      </c>
      <c r="G17" s="26" t="e">
        <f t="shared" si="0"/>
        <v>#DIV/0!</v>
      </c>
      <c r="H17" s="27"/>
      <c r="I17" s="25"/>
      <c r="J17" s="25"/>
      <c r="K17" s="28"/>
    </row>
    <row r="18" spans="1:11" s="9" customFormat="1" ht="12" x14ac:dyDescent="0.2">
      <c r="A18" s="21"/>
      <c r="B18" s="22" t="s">
        <v>44</v>
      </c>
      <c r="C18" s="39">
        <v>0</v>
      </c>
      <c r="D18" s="24">
        <v>0</v>
      </c>
      <c r="E18" s="25">
        <v>0</v>
      </c>
      <c r="F18" s="25">
        <v>0</v>
      </c>
      <c r="G18" s="26" t="e">
        <f t="shared" si="0"/>
        <v>#DIV/0!</v>
      </c>
      <c r="H18" s="27"/>
      <c r="I18" s="25"/>
      <c r="J18" s="25"/>
      <c r="K18" s="28"/>
    </row>
    <row r="19" spans="1:11" s="9" customFormat="1" ht="12" x14ac:dyDescent="0.2">
      <c r="A19" s="21"/>
      <c r="B19" s="29" t="s">
        <v>14</v>
      </c>
      <c r="C19" s="39">
        <v>0</v>
      </c>
      <c r="D19" s="24">
        <v>0</v>
      </c>
      <c r="E19" s="25">
        <v>0</v>
      </c>
      <c r="F19" s="25">
        <v>0</v>
      </c>
      <c r="G19" s="26" t="e">
        <f t="shared" si="0"/>
        <v>#DIV/0!</v>
      </c>
      <c r="H19" s="27"/>
      <c r="I19" s="25"/>
      <c r="J19" s="25"/>
      <c r="K19" s="28"/>
    </row>
    <row r="20" spans="1:11" s="9" customFormat="1" thickBot="1" x14ac:dyDescent="0.25">
      <c r="A20" s="21"/>
      <c r="B20" s="22" t="s">
        <v>12</v>
      </c>
      <c r="C20" s="39">
        <v>0</v>
      </c>
      <c r="D20" s="24">
        <v>0</v>
      </c>
      <c r="E20" s="25">
        <v>0</v>
      </c>
      <c r="F20" s="25">
        <v>0</v>
      </c>
      <c r="G20" s="26" t="e">
        <f t="shared" si="0"/>
        <v>#DIV/0!</v>
      </c>
      <c r="H20" s="27"/>
      <c r="I20" s="25"/>
      <c r="J20" s="25"/>
      <c r="K20" s="28"/>
    </row>
    <row r="21" spans="1:11" s="9" customFormat="1" thickBot="1" x14ac:dyDescent="0.25">
      <c r="A21" s="40" t="s">
        <v>54</v>
      </c>
      <c r="B21" s="41"/>
      <c r="C21" s="42">
        <f>SUM(C13:C20)</f>
        <v>0</v>
      </c>
      <c r="D21" s="43">
        <v>0</v>
      </c>
      <c r="E21" s="44">
        <f>SUM(E13:E20)</f>
        <v>0</v>
      </c>
      <c r="F21" s="44">
        <v>0</v>
      </c>
      <c r="G21" s="45" t="e">
        <f t="shared" si="0"/>
        <v>#DIV/0!</v>
      </c>
      <c r="H21" s="36"/>
      <c r="I21" s="34"/>
      <c r="J21" s="34"/>
      <c r="K21" s="37"/>
    </row>
    <row r="22" spans="1:11" s="9" customFormat="1" thickBot="1" x14ac:dyDescent="0.25">
      <c r="A22" s="46" t="s">
        <v>55</v>
      </c>
      <c r="B22" s="47"/>
      <c r="C22" s="48">
        <f>SUM(C12,C21)</f>
        <v>0</v>
      </c>
      <c r="D22" s="49">
        <v>0</v>
      </c>
      <c r="E22" s="50">
        <f>SUM(E12,E21)</f>
        <v>0</v>
      </c>
      <c r="F22" s="51">
        <v>0</v>
      </c>
      <c r="G22" s="52" t="e">
        <f t="shared" si="0"/>
        <v>#DIV/0!</v>
      </c>
      <c r="H22" s="53"/>
      <c r="I22" s="54"/>
      <c r="J22" s="54"/>
      <c r="K22" s="55"/>
    </row>
    <row r="23" spans="1:11" ht="22.5" customHeight="1" thickTop="1" x14ac:dyDescent="0.2">
      <c r="G23" s="57"/>
    </row>
    <row r="24" spans="1:11" x14ac:dyDescent="0.2">
      <c r="A24" s="58" t="s">
        <v>56</v>
      </c>
    </row>
  </sheetData>
  <mergeCells count="9">
    <mergeCell ref="A1:C1"/>
    <mergeCell ref="D1:G1"/>
    <mergeCell ref="H1:K1"/>
    <mergeCell ref="A2:A3"/>
    <mergeCell ref="B2:B3"/>
    <mergeCell ref="C2:C3"/>
    <mergeCell ref="D2:D3"/>
    <mergeCell ref="F2:G2"/>
    <mergeCell ref="J2:K2"/>
  </mergeCells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46"/>
  <sheetViews>
    <sheetView showGridLines="0" zoomScale="85" workbookViewId="0">
      <pane xSplit="5" ySplit="3" topLeftCell="F4" activePane="bottomRight" state="frozen"/>
      <selection pane="topRight" activeCell="G1" sqref="G1"/>
      <selection pane="bottomLeft" activeCell="A4" sqref="A4"/>
      <selection pane="bottomRight" activeCell="A2" sqref="A2:A3"/>
    </sheetView>
  </sheetViews>
  <sheetFormatPr defaultRowHeight="11.25" x14ac:dyDescent="0.2"/>
  <cols>
    <col min="1" max="1" width="14" style="59" customWidth="1"/>
    <col min="2" max="2" width="11.85546875" style="126" hidden="1" customWidth="1"/>
    <col min="3" max="4" width="9.140625" style="60" hidden="1" customWidth="1"/>
    <col min="5" max="5" width="24.7109375" style="60" customWidth="1"/>
    <col min="6" max="6" width="12.140625" style="60" customWidth="1"/>
    <col min="7" max="7" width="16.5703125" style="61" bestFit="1" customWidth="1"/>
    <col min="8" max="8" width="14" style="60" customWidth="1"/>
    <col min="9" max="9" width="12.140625" style="60" customWidth="1"/>
    <col min="10" max="10" width="12.5703125" style="61" customWidth="1"/>
    <col min="11" max="12" width="14" style="60" customWidth="1"/>
    <col min="13" max="13" width="21" style="61" customWidth="1"/>
    <col min="14" max="14" width="38.28515625" style="59" customWidth="1"/>
    <col min="15" max="15" width="11" style="127" customWidth="1"/>
    <col min="16" max="16" width="13.85546875" style="128" customWidth="1"/>
    <col min="17" max="17" width="13.85546875" style="131" customWidth="1"/>
    <col min="18" max="18" width="18.42578125" style="130" customWidth="1"/>
    <col min="19" max="19" width="11.140625" style="60" customWidth="1"/>
    <col min="20" max="20" width="13.85546875" style="128" customWidth="1"/>
    <col min="21" max="21" width="13.85546875" style="131" customWidth="1"/>
    <col min="22" max="22" width="44" style="59" customWidth="1"/>
    <col min="23" max="23" width="47.85546875" style="61" customWidth="1"/>
    <col min="24" max="24" width="26.85546875" style="59" customWidth="1"/>
    <col min="25" max="27" width="21.42578125" style="60" customWidth="1"/>
    <col min="28" max="16384" width="9.140625" style="59"/>
  </cols>
  <sheetData>
    <row r="1" spans="1:31" ht="12" thickBot="1" x14ac:dyDescent="0.2">
      <c r="B1" s="59"/>
      <c r="O1" s="205" t="s">
        <v>1</v>
      </c>
      <c r="P1" s="206"/>
      <c r="Q1" s="207"/>
      <c r="R1" s="208" t="s">
        <v>45</v>
      </c>
      <c r="S1" s="209"/>
      <c r="T1" s="210"/>
      <c r="U1" s="210"/>
      <c r="V1" s="62"/>
      <c r="W1" s="63"/>
      <c r="X1" s="64"/>
      <c r="Y1" s="197" t="s">
        <v>16</v>
      </c>
      <c r="Z1" s="198"/>
      <c r="AA1" s="199"/>
      <c r="AD1" s="65" t="s">
        <v>17</v>
      </c>
      <c r="AE1" s="66" t="s">
        <v>18</v>
      </c>
    </row>
    <row r="2" spans="1:31" ht="11.25" customHeight="1" x14ac:dyDescent="0.15">
      <c r="A2" s="179" t="s">
        <v>19</v>
      </c>
      <c r="B2" s="171" t="s">
        <v>20</v>
      </c>
      <c r="C2" s="171" t="s">
        <v>21</v>
      </c>
      <c r="D2" s="193" t="s">
        <v>22</v>
      </c>
      <c r="E2" s="195" t="s">
        <v>23</v>
      </c>
      <c r="F2" s="175" t="s">
        <v>24</v>
      </c>
      <c r="G2" s="176"/>
      <c r="H2" s="177" t="s">
        <v>25</v>
      </c>
      <c r="I2" s="179" t="s">
        <v>26</v>
      </c>
      <c r="J2" s="180"/>
      <c r="K2" s="181" t="s">
        <v>27</v>
      </c>
      <c r="L2" s="183" t="s">
        <v>28</v>
      </c>
      <c r="M2" s="183" t="s">
        <v>3</v>
      </c>
      <c r="N2" s="187" t="s">
        <v>4</v>
      </c>
      <c r="O2" s="189" t="s">
        <v>57</v>
      </c>
      <c r="P2" s="200" t="s">
        <v>29</v>
      </c>
      <c r="Q2" s="200" t="s">
        <v>5</v>
      </c>
      <c r="R2" s="203" t="s">
        <v>30</v>
      </c>
      <c r="S2" s="191" t="s">
        <v>31</v>
      </c>
      <c r="T2" s="185" t="s">
        <v>29</v>
      </c>
      <c r="U2" s="185" t="s">
        <v>5</v>
      </c>
      <c r="V2" s="171" t="s">
        <v>32</v>
      </c>
      <c r="W2" s="173" t="s">
        <v>33</v>
      </c>
      <c r="X2" s="171" t="s">
        <v>34</v>
      </c>
      <c r="Y2" s="171" t="s">
        <v>35</v>
      </c>
      <c r="Z2" s="171" t="s">
        <v>36</v>
      </c>
      <c r="AA2" s="171" t="s">
        <v>37</v>
      </c>
      <c r="AD2" s="65" t="s">
        <v>38</v>
      </c>
      <c r="AE2" s="66" t="s">
        <v>39</v>
      </c>
    </row>
    <row r="3" spans="1:31" ht="12" thickBot="1" x14ac:dyDescent="0.2">
      <c r="A3" s="171"/>
      <c r="B3" s="184"/>
      <c r="C3" s="172"/>
      <c r="D3" s="194"/>
      <c r="E3" s="196"/>
      <c r="F3" s="68" t="s">
        <v>40</v>
      </c>
      <c r="G3" s="69" t="s">
        <v>41</v>
      </c>
      <c r="H3" s="178"/>
      <c r="I3" s="67" t="s">
        <v>40</v>
      </c>
      <c r="J3" s="70" t="s">
        <v>41</v>
      </c>
      <c r="K3" s="182"/>
      <c r="L3" s="184"/>
      <c r="M3" s="184"/>
      <c r="N3" s="188"/>
      <c r="O3" s="190"/>
      <c r="P3" s="201"/>
      <c r="Q3" s="202"/>
      <c r="R3" s="204"/>
      <c r="S3" s="192"/>
      <c r="T3" s="211"/>
      <c r="U3" s="186"/>
      <c r="V3" s="172"/>
      <c r="W3" s="174"/>
      <c r="X3" s="172"/>
      <c r="Y3" s="172"/>
      <c r="Z3" s="172"/>
      <c r="AA3" s="172"/>
      <c r="AD3" s="65" t="s">
        <v>42</v>
      </c>
      <c r="AE3" s="66" t="s">
        <v>43</v>
      </c>
    </row>
    <row r="4" spans="1:31" s="62" customFormat="1" ht="12" customHeight="1" thickBot="1" x14ac:dyDescent="0.25">
      <c r="A4" s="168" t="s">
        <v>58</v>
      </c>
      <c r="B4" s="71"/>
      <c r="C4" s="72"/>
      <c r="D4" s="73"/>
      <c r="E4" s="74" t="s">
        <v>59</v>
      </c>
      <c r="F4" s="75" t="s">
        <v>60</v>
      </c>
      <c r="G4" s="75" t="s">
        <v>61</v>
      </c>
      <c r="H4" s="76"/>
      <c r="I4" s="77" t="s">
        <v>62</v>
      </c>
      <c r="J4" s="77" t="s">
        <v>63</v>
      </c>
      <c r="K4" s="78" t="s">
        <v>64</v>
      </c>
      <c r="L4" s="79" t="s">
        <v>53</v>
      </c>
      <c r="M4" s="80" t="s">
        <v>11</v>
      </c>
      <c r="N4" s="81" t="s">
        <v>65</v>
      </c>
      <c r="O4" s="82">
        <v>0</v>
      </c>
      <c r="P4" s="83">
        <f>O4/Q4</f>
        <v>0</v>
      </c>
      <c r="Q4" s="84">
        <v>27709</v>
      </c>
      <c r="R4" s="85">
        <f>S4-O4</f>
        <v>0</v>
      </c>
      <c r="S4" s="82"/>
      <c r="T4" s="83" t="e">
        <f>S4/U4</f>
        <v>#DIV/0!</v>
      </c>
      <c r="U4" s="84"/>
      <c r="V4" s="86"/>
      <c r="W4" s="87"/>
      <c r="X4" s="88"/>
      <c r="Y4" s="89"/>
      <c r="Z4" s="90"/>
      <c r="AA4" s="91"/>
    </row>
    <row r="5" spans="1:31" s="62" customFormat="1" ht="12" thickBot="1" x14ac:dyDescent="0.25">
      <c r="A5" s="169"/>
      <c r="B5" s="92"/>
      <c r="C5" s="93"/>
      <c r="D5" s="93"/>
      <c r="E5" s="74" t="s">
        <v>59</v>
      </c>
      <c r="F5" s="94" t="s">
        <v>60</v>
      </c>
      <c r="G5" s="94" t="s">
        <v>61</v>
      </c>
      <c r="H5" s="95"/>
      <c r="I5" s="96" t="s">
        <v>62</v>
      </c>
      <c r="J5" s="96" t="s">
        <v>63</v>
      </c>
      <c r="K5" s="97" t="s">
        <v>66</v>
      </c>
      <c r="L5" s="98" t="s">
        <v>53</v>
      </c>
      <c r="M5" s="99" t="s">
        <v>14</v>
      </c>
      <c r="N5" s="100" t="s">
        <v>67</v>
      </c>
      <c r="O5" s="101">
        <v>0</v>
      </c>
      <c r="P5" s="83">
        <f t="shared" ref="P5:P37" si="0">O5/Q5</f>
        <v>0</v>
      </c>
      <c r="Q5" s="84">
        <v>27709</v>
      </c>
      <c r="R5" s="85">
        <f t="shared" ref="R5:R37" si="1">S5-O5</f>
        <v>0</v>
      </c>
      <c r="S5" s="101"/>
      <c r="T5" s="83" t="e">
        <f t="shared" ref="T5:T37" si="2">S5/U5</f>
        <v>#DIV/0!</v>
      </c>
      <c r="U5" s="84"/>
      <c r="V5" s="102"/>
      <c r="W5" s="103"/>
      <c r="X5" s="102"/>
      <c r="Y5" s="102"/>
      <c r="Z5" s="104"/>
      <c r="AA5" s="105"/>
    </row>
    <row r="6" spans="1:31" s="62" customFormat="1" ht="45.75" thickBot="1" x14ac:dyDescent="0.25">
      <c r="A6" s="169"/>
      <c r="B6" s="92"/>
      <c r="C6" s="93"/>
      <c r="D6" s="93"/>
      <c r="E6" s="106" t="s">
        <v>68</v>
      </c>
      <c r="F6" s="107" t="s">
        <v>69</v>
      </c>
      <c r="G6" s="108" t="s">
        <v>70</v>
      </c>
      <c r="H6" s="104"/>
      <c r="I6" s="77" t="s">
        <v>62</v>
      </c>
      <c r="J6" s="77" t="s">
        <v>71</v>
      </c>
      <c r="K6" s="109" t="s">
        <v>72</v>
      </c>
      <c r="L6" s="110" t="s">
        <v>53</v>
      </c>
      <c r="M6" s="111" t="s">
        <v>14</v>
      </c>
      <c r="N6" s="112" t="s">
        <v>73</v>
      </c>
      <c r="O6" s="82">
        <v>3015</v>
      </c>
      <c r="P6" s="83">
        <f t="shared" si="0"/>
        <v>0.10880941210437042</v>
      </c>
      <c r="Q6" s="84">
        <v>27709</v>
      </c>
      <c r="R6" s="85">
        <f t="shared" si="1"/>
        <v>-3015</v>
      </c>
      <c r="S6" s="82"/>
      <c r="T6" s="83" t="e">
        <f t="shared" si="2"/>
        <v>#DIV/0!</v>
      </c>
      <c r="U6" s="84"/>
      <c r="V6" s="113" t="s">
        <v>74</v>
      </c>
      <c r="W6" s="114" t="s">
        <v>75</v>
      </c>
      <c r="X6" s="115" t="s">
        <v>76</v>
      </c>
      <c r="Y6" s="90" t="s">
        <v>76</v>
      </c>
      <c r="Z6" s="90">
        <v>40037</v>
      </c>
      <c r="AA6" s="91"/>
    </row>
    <row r="7" spans="1:31" s="62" customFormat="1" ht="45.75" thickBot="1" x14ac:dyDescent="0.25">
      <c r="A7" s="169"/>
      <c r="B7" s="92"/>
      <c r="C7" s="93"/>
      <c r="D7" s="93"/>
      <c r="E7" s="106" t="s">
        <v>68</v>
      </c>
      <c r="F7" s="107" t="s">
        <v>69</v>
      </c>
      <c r="G7" s="108" t="s">
        <v>70</v>
      </c>
      <c r="H7" s="104"/>
      <c r="I7" s="77" t="s">
        <v>62</v>
      </c>
      <c r="J7" s="77" t="s">
        <v>71</v>
      </c>
      <c r="K7" s="109" t="s">
        <v>77</v>
      </c>
      <c r="L7" s="110" t="s">
        <v>53</v>
      </c>
      <c r="M7" s="111" t="s">
        <v>11</v>
      </c>
      <c r="N7" s="112" t="s">
        <v>78</v>
      </c>
      <c r="O7" s="82">
        <v>663</v>
      </c>
      <c r="P7" s="83">
        <f t="shared" si="0"/>
        <v>2.3927243855786928E-2</v>
      </c>
      <c r="Q7" s="84">
        <v>27709</v>
      </c>
      <c r="R7" s="85">
        <f t="shared" si="1"/>
        <v>-663</v>
      </c>
      <c r="S7" s="82"/>
      <c r="T7" s="83" t="e">
        <f t="shared" si="2"/>
        <v>#DIV/0!</v>
      </c>
      <c r="U7" s="84"/>
      <c r="V7" s="113" t="s">
        <v>79</v>
      </c>
      <c r="W7" s="114" t="s">
        <v>80</v>
      </c>
      <c r="X7" s="115" t="s">
        <v>81</v>
      </c>
      <c r="Y7" s="90" t="s">
        <v>82</v>
      </c>
      <c r="Z7" s="90">
        <v>40037</v>
      </c>
      <c r="AA7" s="91"/>
    </row>
    <row r="8" spans="1:31" s="62" customFormat="1" ht="34.5" thickBot="1" x14ac:dyDescent="0.25">
      <c r="A8" s="169"/>
      <c r="B8" s="92"/>
      <c r="C8" s="93"/>
      <c r="D8" s="93"/>
      <c r="E8" s="106" t="s">
        <v>83</v>
      </c>
      <c r="F8" s="94" t="s">
        <v>60</v>
      </c>
      <c r="G8" s="94" t="s">
        <v>84</v>
      </c>
      <c r="H8" s="104"/>
      <c r="I8" s="110" t="s">
        <v>85</v>
      </c>
      <c r="J8" s="110" t="s">
        <v>86</v>
      </c>
      <c r="K8" s="97" t="s">
        <v>237</v>
      </c>
      <c r="L8" s="116" t="s">
        <v>53</v>
      </c>
      <c r="M8" s="117" t="s">
        <v>11</v>
      </c>
      <c r="N8" s="118" t="s">
        <v>87</v>
      </c>
      <c r="O8" s="82">
        <v>0</v>
      </c>
      <c r="P8" s="83">
        <f t="shared" si="0"/>
        <v>0</v>
      </c>
      <c r="Q8" s="84">
        <v>27709</v>
      </c>
      <c r="R8" s="85">
        <f t="shared" si="1"/>
        <v>0</v>
      </c>
      <c r="S8" s="82"/>
      <c r="T8" s="83" t="e">
        <f t="shared" si="2"/>
        <v>#DIV/0!</v>
      </c>
      <c r="U8" s="84"/>
      <c r="V8" s="113"/>
      <c r="W8" s="114"/>
      <c r="X8" s="115"/>
      <c r="Y8" s="90"/>
      <c r="Z8" s="90"/>
      <c r="AA8" s="91"/>
    </row>
    <row r="9" spans="1:31" s="62" customFormat="1" ht="45.75" thickBot="1" x14ac:dyDescent="0.25">
      <c r="A9" s="169"/>
      <c r="B9" s="92"/>
      <c r="C9" s="93"/>
      <c r="D9" s="93"/>
      <c r="E9" s="106" t="s">
        <v>83</v>
      </c>
      <c r="F9" s="107" t="s">
        <v>60</v>
      </c>
      <c r="G9" s="108" t="s">
        <v>84</v>
      </c>
      <c r="H9" s="104"/>
      <c r="I9" s="77" t="s">
        <v>85</v>
      </c>
      <c r="J9" s="77" t="s">
        <v>86</v>
      </c>
      <c r="K9" s="109" t="s">
        <v>88</v>
      </c>
      <c r="L9" s="110" t="s">
        <v>53</v>
      </c>
      <c r="M9" s="111" t="s">
        <v>13</v>
      </c>
      <c r="N9" s="112" t="s">
        <v>89</v>
      </c>
      <c r="O9" s="82">
        <v>163</v>
      </c>
      <c r="P9" s="83">
        <f t="shared" si="0"/>
        <v>5.8825652315132272E-3</v>
      </c>
      <c r="Q9" s="84">
        <v>27709</v>
      </c>
      <c r="R9" s="85">
        <f t="shared" si="1"/>
        <v>-163</v>
      </c>
      <c r="S9" s="82"/>
      <c r="T9" s="83" t="e">
        <f t="shared" si="2"/>
        <v>#DIV/0!</v>
      </c>
      <c r="U9" s="84"/>
      <c r="V9" s="113" t="s">
        <v>90</v>
      </c>
      <c r="W9" s="114" t="s">
        <v>91</v>
      </c>
      <c r="X9" s="115" t="s">
        <v>81</v>
      </c>
      <c r="Y9" s="90" t="s">
        <v>82</v>
      </c>
      <c r="Z9" s="90">
        <v>40037</v>
      </c>
      <c r="AA9" s="91"/>
    </row>
    <row r="10" spans="1:31" s="62" customFormat="1" ht="34.5" thickBot="1" x14ac:dyDescent="0.25">
      <c r="A10" s="169"/>
      <c r="B10" s="92"/>
      <c r="C10" s="93"/>
      <c r="D10" s="93"/>
      <c r="E10" s="119" t="s">
        <v>83</v>
      </c>
      <c r="F10" s="107" t="s">
        <v>60</v>
      </c>
      <c r="G10" s="108" t="s">
        <v>84</v>
      </c>
      <c r="H10" s="104"/>
      <c r="I10" s="77" t="s">
        <v>85</v>
      </c>
      <c r="J10" s="77" t="s">
        <v>86</v>
      </c>
      <c r="K10" s="109" t="s">
        <v>92</v>
      </c>
      <c r="L10" s="110" t="s">
        <v>9</v>
      </c>
      <c r="M10" s="111" t="s">
        <v>13</v>
      </c>
      <c r="N10" s="112" t="s">
        <v>93</v>
      </c>
      <c r="O10" s="82">
        <v>0</v>
      </c>
      <c r="P10" s="83">
        <f t="shared" si="0"/>
        <v>0</v>
      </c>
      <c r="Q10" s="84">
        <v>27709</v>
      </c>
      <c r="R10" s="85">
        <f t="shared" si="1"/>
        <v>0</v>
      </c>
      <c r="S10" s="82"/>
      <c r="T10" s="83" t="e">
        <f t="shared" si="2"/>
        <v>#DIV/0!</v>
      </c>
      <c r="U10" s="84"/>
      <c r="V10" s="113"/>
      <c r="W10" s="114"/>
      <c r="X10" s="115"/>
      <c r="Y10" s="90"/>
      <c r="Z10" s="90"/>
      <c r="AA10" s="91"/>
    </row>
    <row r="11" spans="1:31" s="62" customFormat="1" ht="45.75" thickBot="1" x14ac:dyDescent="0.25">
      <c r="A11" s="169"/>
      <c r="B11" s="92"/>
      <c r="C11" s="93"/>
      <c r="D11" s="93"/>
      <c r="E11" s="74" t="s">
        <v>94</v>
      </c>
      <c r="F11" s="107" t="s">
        <v>95</v>
      </c>
      <c r="G11" s="108" t="s">
        <v>96</v>
      </c>
      <c r="H11" s="104"/>
      <c r="I11" s="77" t="s">
        <v>97</v>
      </c>
      <c r="J11" s="77" t="s">
        <v>98</v>
      </c>
      <c r="K11" s="109" t="s">
        <v>99</v>
      </c>
      <c r="L11" s="110" t="s">
        <v>53</v>
      </c>
      <c r="M11" s="111" t="s">
        <v>11</v>
      </c>
      <c r="N11" s="112" t="s">
        <v>100</v>
      </c>
      <c r="O11" s="82">
        <v>273</v>
      </c>
      <c r="P11" s="83">
        <f t="shared" si="0"/>
        <v>9.8523945288534406E-3</v>
      </c>
      <c r="Q11" s="84">
        <v>27709</v>
      </c>
      <c r="R11" s="85">
        <f t="shared" si="1"/>
        <v>-273</v>
      </c>
      <c r="S11" s="82"/>
      <c r="T11" s="83" t="e">
        <f t="shared" si="2"/>
        <v>#DIV/0!</v>
      </c>
      <c r="U11" s="84"/>
      <c r="V11" s="113" t="s">
        <v>101</v>
      </c>
      <c r="W11" s="114" t="s">
        <v>102</v>
      </c>
      <c r="X11" s="115" t="s">
        <v>81</v>
      </c>
      <c r="Y11" s="90" t="s">
        <v>82</v>
      </c>
      <c r="Z11" s="90">
        <v>40037</v>
      </c>
      <c r="AA11" s="91"/>
    </row>
    <row r="12" spans="1:31" s="62" customFormat="1" ht="23.25" customHeight="1" thickBot="1" x14ac:dyDescent="0.25">
      <c r="A12" s="169"/>
      <c r="B12" s="92"/>
      <c r="C12" s="93"/>
      <c r="D12" s="93"/>
      <c r="E12" s="74" t="s">
        <v>94</v>
      </c>
      <c r="F12" s="107" t="s">
        <v>95</v>
      </c>
      <c r="G12" s="108" t="s">
        <v>96</v>
      </c>
      <c r="H12" s="104"/>
      <c r="I12" s="77" t="s">
        <v>97</v>
      </c>
      <c r="J12" s="77" t="s">
        <v>98</v>
      </c>
      <c r="K12" s="109" t="s">
        <v>103</v>
      </c>
      <c r="L12" s="110" t="s">
        <v>53</v>
      </c>
      <c r="M12" s="111" t="s">
        <v>14</v>
      </c>
      <c r="N12" s="112" t="s">
        <v>104</v>
      </c>
      <c r="O12" s="82">
        <v>6647</v>
      </c>
      <c r="P12" s="83">
        <f t="shared" si="0"/>
        <v>0.2398859576310946</v>
      </c>
      <c r="Q12" s="84">
        <v>27709</v>
      </c>
      <c r="R12" s="85">
        <f t="shared" si="1"/>
        <v>-6647</v>
      </c>
      <c r="S12" s="82"/>
      <c r="T12" s="83" t="e">
        <f t="shared" si="2"/>
        <v>#DIV/0!</v>
      </c>
      <c r="U12" s="84"/>
      <c r="V12" s="113" t="s">
        <v>105</v>
      </c>
      <c r="W12" s="114" t="s">
        <v>106</v>
      </c>
      <c r="X12" s="115" t="s">
        <v>81</v>
      </c>
      <c r="Y12" s="90" t="s">
        <v>82</v>
      </c>
      <c r="Z12" s="90">
        <v>40037</v>
      </c>
      <c r="AA12" s="91"/>
    </row>
    <row r="13" spans="1:31" s="62" customFormat="1" ht="23.25" customHeight="1" thickBot="1" x14ac:dyDescent="0.25">
      <c r="A13" s="169"/>
      <c r="B13" s="92"/>
      <c r="C13" s="93"/>
      <c r="D13" s="93"/>
      <c r="E13" s="106" t="s">
        <v>107</v>
      </c>
      <c r="F13" s="107" t="s">
        <v>95</v>
      </c>
      <c r="G13" s="108" t="s">
        <v>108</v>
      </c>
      <c r="H13" s="104"/>
      <c r="I13" s="77" t="s">
        <v>97</v>
      </c>
      <c r="J13" s="77" t="s">
        <v>98</v>
      </c>
      <c r="K13" s="109" t="s">
        <v>109</v>
      </c>
      <c r="L13" s="110" t="s">
        <v>53</v>
      </c>
      <c r="M13" s="111" t="s">
        <v>11</v>
      </c>
      <c r="N13" s="112" t="s">
        <v>110</v>
      </c>
      <c r="O13" s="82">
        <v>317</v>
      </c>
      <c r="P13" s="83">
        <f t="shared" si="0"/>
        <v>1.1440326247789527E-2</v>
      </c>
      <c r="Q13" s="84">
        <v>27709</v>
      </c>
      <c r="R13" s="85">
        <f t="shared" si="1"/>
        <v>-317</v>
      </c>
      <c r="S13" s="82"/>
      <c r="T13" s="83" t="e">
        <f t="shared" si="2"/>
        <v>#DIV/0!</v>
      </c>
      <c r="U13" s="84"/>
      <c r="V13" s="113" t="s">
        <v>111</v>
      </c>
      <c r="W13" s="114" t="s">
        <v>112</v>
      </c>
      <c r="X13" s="115" t="s">
        <v>81</v>
      </c>
      <c r="Y13" s="90" t="s">
        <v>82</v>
      </c>
      <c r="Z13" s="90">
        <v>40037</v>
      </c>
      <c r="AA13" s="91"/>
    </row>
    <row r="14" spans="1:31" s="62" customFormat="1" ht="34.5" customHeight="1" thickBot="1" x14ac:dyDescent="0.25">
      <c r="A14" s="169"/>
      <c r="B14" s="92"/>
      <c r="C14" s="93"/>
      <c r="D14" s="93"/>
      <c r="E14" s="120" t="s">
        <v>113</v>
      </c>
      <c r="F14" s="107" t="s">
        <v>95</v>
      </c>
      <c r="G14" s="108" t="s">
        <v>114</v>
      </c>
      <c r="H14" s="104"/>
      <c r="I14" s="77" t="s">
        <v>115</v>
      </c>
      <c r="J14" s="77" t="s">
        <v>116</v>
      </c>
      <c r="K14" s="109" t="s">
        <v>117</v>
      </c>
      <c r="L14" s="110" t="s">
        <v>53</v>
      </c>
      <c r="M14" s="111" t="s">
        <v>11</v>
      </c>
      <c r="N14" s="112" t="s">
        <v>118</v>
      </c>
      <c r="O14" s="82">
        <v>69</v>
      </c>
      <c r="P14" s="83">
        <f t="shared" si="0"/>
        <v>2.4901656501497707E-3</v>
      </c>
      <c r="Q14" s="84">
        <v>27709</v>
      </c>
      <c r="R14" s="85">
        <f t="shared" si="1"/>
        <v>-69</v>
      </c>
      <c r="S14" s="82"/>
      <c r="T14" s="83" t="e">
        <f t="shared" si="2"/>
        <v>#DIV/0!</v>
      </c>
      <c r="U14" s="84"/>
      <c r="V14" s="113" t="s">
        <v>119</v>
      </c>
      <c r="W14" s="114" t="s">
        <v>120</v>
      </c>
      <c r="X14" s="115" t="s">
        <v>81</v>
      </c>
      <c r="Y14" s="90" t="s">
        <v>82</v>
      </c>
      <c r="Z14" s="90">
        <v>40037</v>
      </c>
      <c r="AA14" s="91"/>
    </row>
    <row r="15" spans="1:31" s="62" customFormat="1" ht="34.5" customHeight="1" thickBot="1" x14ac:dyDescent="0.25">
      <c r="A15" s="169"/>
      <c r="B15" s="92"/>
      <c r="C15" s="93"/>
      <c r="D15" s="93"/>
      <c r="E15" s="120" t="s">
        <v>121</v>
      </c>
      <c r="F15" s="107" t="s">
        <v>95</v>
      </c>
      <c r="G15" s="108" t="s">
        <v>122</v>
      </c>
      <c r="H15" s="104"/>
      <c r="I15" s="77" t="s">
        <v>97</v>
      </c>
      <c r="J15" s="77" t="s">
        <v>123</v>
      </c>
      <c r="K15" s="109" t="s">
        <v>238</v>
      </c>
      <c r="L15" s="110" t="s">
        <v>53</v>
      </c>
      <c r="M15" s="111" t="s">
        <v>14</v>
      </c>
      <c r="N15" s="112" t="s">
        <v>124</v>
      </c>
      <c r="O15" s="82">
        <v>0</v>
      </c>
      <c r="P15" s="83">
        <f t="shared" si="0"/>
        <v>0</v>
      </c>
      <c r="Q15" s="84">
        <v>27709</v>
      </c>
      <c r="R15" s="85">
        <f t="shared" si="1"/>
        <v>0</v>
      </c>
      <c r="S15" s="82"/>
      <c r="T15" s="83" t="e">
        <f t="shared" si="2"/>
        <v>#DIV/0!</v>
      </c>
      <c r="U15" s="84"/>
      <c r="V15" s="113" t="s">
        <v>125</v>
      </c>
      <c r="W15" s="114"/>
      <c r="X15" s="115"/>
      <c r="Y15" s="90"/>
      <c r="Z15" s="90"/>
      <c r="AA15" s="91"/>
    </row>
    <row r="16" spans="1:31" s="62" customFormat="1" ht="23.25" thickBot="1" x14ac:dyDescent="0.25">
      <c r="A16" s="169"/>
      <c r="B16" s="92"/>
      <c r="C16" s="93"/>
      <c r="D16" s="93"/>
      <c r="E16" s="119" t="s">
        <v>126</v>
      </c>
      <c r="F16" s="107"/>
      <c r="G16" s="108"/>
      <c r="H16" s="104"/>
      <c r="I16" s="77" t="s">
        <v>76</v>
      </c>
      <c r="J16" s="77" t="s">
        <v>76</v>
      </c>
      <c r="K16" s="109" t="s">
        <v>127</v>
      </c>
      <c r="L16" s="110" t="s">
        <v>9</v>
      </c>
      <c r="M16" s="111" t="s">
        <v>13</v>
      </c>
      <c r="N16" s="112" t="s">
        <v>128</v>
      </c>
      <c r="O16" s="82">
        <v>0</v>
      </c>
      <c r="P16" s="83">
        <f t="shared" si="0"/>
        <v>0</v>
      </c>
      <c r="Q16" s="84">
        <v>27709</v>
      </c>
      <c r="R16" s="85">
        <f t="shared" si="1"/>
        <v>0</v>
      </c>
      <c r="S16" s="82"/>
      <c r="T16" s="83" t="e">
        <f t="shared" si="2"/>
        <v>#DIV/0!</v>
      </c>
      <c r="U16" s="84"/>
      <c r="V16" s="113" t="s">
        <v>129</v>
      </c>
      <c r="W16" s="114"/>
      <c r="X16" s="115"/>
      <c r="Y16" s="90"/>
      <c r="Z16" s="90"/>
      <c r="AA16" s="91"/>
    </row>
    <row r="17" spans="1:27" s="62" customFormat="1" ht="12" thickBot="1" x14ac:dyDescent="0.25">
      <c r="A17" s="169"/>
      <c r="B17" s="92"/>
      <c r="C17" s="93"/>
      <c r="D17" s="93"/>
      <c r="E17" s="74" t="s">
        <v>130</v>
      </c>
      <c r="F17" s="107" t="s">
        <v>60</v>
      </c>
      <c r="G17" s="108" t="s">
        <v>131</v>
      </c>
      <c r="H17" s="104"/>
      <c r="I17" s="77" t="s">
        <v>62</v>
      </c>
      <c r="J17" s="77" t="s">
        <v>132</v>
      </c>
      <c r="K17" s="109" t="s">
        <v>133</v>
      </c>
      <c r="L17" s="110" t="s">
        <v>53</v>
      </c>
      <c r="M17" s="111" t="s">
        <v>11</v>
      </c>
      <c r="N17" s="112" t="s">
        <v>134</v>
      </c>
      <c r="O17" s="82">
        <v>0</v>
      </c>
      <c r="P17" s="83">
        <f t="shared" si="0"/>
        <v>0</v>
      </c>
      <c r="Q17" s="84">
        <v>27709</v>
      </c>
      <c r="R17" s="85">
        <f t="shared" si="1"/>
        <v>0</v>
      </c>
      <c r="S17" s="82"/>
      <c r="T17" s="83" t="e">
        <f t="shared" si="2"/>
        <v>#DIV/0!</v>
      </c>
      <c r="U17" s="84"/>
      <c r="V17" s="113"/>
      <c r="W17" s="114"/>
      <c r="X17" s="115"/>
      <c r="Y17" s="90"/>
      <c r="Z17" s="90"/>
      <c r="AA17" s="91"/>
    </row>
    <row r="18" spans="1:27" s="62" customFormat="1" ht="12" thickBot="1" x14ac:dyDescent="0.25">
      <c r="A18" s="169"/>
      <c r="B18" s="92"/>
      <c r="C18" s="93"/>
      <c r="D18" s="93"/>
      <c r="E18" s="74" t="s">
        <v>135</v>
      </c>
      <c r="F18" s="107" t="s">
        <v>60</v>
      </c>
      <c r="G18" s="108" t="s">
        <v>136</v>
      </c>
      <c r="H18" s="104"/>
      <c r="I18" s="77" t="s">
        <v>62</v>
      </c>
      <c r="J18" s="77" t="s">
        <v>137</v>
      </c>
      <c r="K18" s="109" t="s">
        <v>138</v>
      </c>
      <c r="L18" s="110" t="s">
        <v>53</v>
      </c>
      <c r="M18" s="111" t="s">
        <v>14</v>
      </c>
      <c r="N18" s="112" t="s">
        <v>139</v>
      </c>
      <c r="O18" s="82">
        <v>0</v>
      </c>
      <c r="P18" s="83">
        <f t="shared" si="0"/>
        <v>0</v>
      </c>
      <c r="Q18" s="84">
        <v>27709</v>
      </c>
      <c r="R18" s="85">
        <f t="shared" si="1"/>
        <v>0</v>
      </c>
      <c r="S18" s="82"/>
      <c r="T18" s="83" t="e">
        <f t="shared" si="2"/>
        <v>#DIV/0!</v>
      </c>
      <c r="U18" s="84"/>
      <c r="V18" s="113"/>
      <c r="W18" s="114"/>
      <c r="X18" s="115"/>
      <c r="Y18" s="90"/>
      <c r="Z18" s="90"/>
      <c r="AA18" s="91"/>
    </row>
    <row r="19" spans="1:27" s="62" customFormat="1" ht="12" thickBot="1" x14ac:dyDescent="0.25">
      <c r="A19" s="169"/>
      <c r="B19" s="92"/>
      <c r="C19" s="121"/>
      <c r="D19" s="121"/>
      <c r="E19" s="74" t="s">
        <v>140</v>
      </c>
      <c r="F19" s="107" t="s">
        <v>95</v>
      </c>
      <c r="G19" s="108" t="s">
        <v>141</v>
      </c>
      <c r="H19" s="104"/>
      <c r="I19" s="77" t="s">
        <v>142</v>
      </c>
      <c r="J19" s="77" t="s">
        <v>143</v>
      </c>
      <c r="K19" s="109" t="s">
        <v>144</v>
      </c>
      <c r="L19" s="110" t="s">
        <v>53</v>
      </c>
      <c r="M19" s="111" t="s">
        <v>14</v>
      </c>
      <c r="N19" s="112" t="s">
        <v>145</v>
      </c>
      <c r="O19" s="82">
        <v>0</v>
      </c>
      <c r="P19" s="83">
        <f t="shared" si="0"/>
        <v>0</v>
      </c>
      <c r="Q19" s="84">
        <v>27709</v>
      </c>
      <c r="R19" s="85">
        <f t="shared" si="1"/>
        <v>0</v>
      </c>
      <c r="S19" s="82"/>
      <c r="T19" s="83" t="e">
        <f t="shared" si="2"/>
        <v>#DIV/0!</v>
      </c>
      <c r="U19" s="84"/>
      <c r="V19" s="113"/>
      <c r="W19" s="114"/>
      <c r="X19" s="115"/>
      <c r="Y19" s="90"/>
      <c r="Z19" s="90"/>
      <c r="AA19" s="91"/>
    </row>
    <row r="20" spans="1:27" s="62" customFormat="1" ht="57" thickBot="1" x14ac:dyDescent="0.25">
      <c r="A20" s="169"/>
      <c r="B20" s="92"/>
      <c r="C20" s="121"/>
      <c r="D20" s="121"/>
      <c r="E20" s="122" t="s">
        <v>146</v>
      </c>
      <c r="F20" s="107" t="s">
        <v>95</v>
      </c>
      <c r="G20" s="108" t="s">
        <v>147</v>
      </c>
      <c r="H20" s="104"/>
      <c r="I20" s="77" t="s">
        <v>148</v>
      </c>
      <c r="J20" s="77" t="s">
        <v>149</v>
      </c>
      <c r="K20" s="109" t="s">
        <v>150</v>
      </c>
      <c r="L20" s="110" t="s">
        <v>9</v>
      </c>
      <c r="M20" s="111" t="s">
        <v>14</v>
      </c>
      <c r="N20" s="112" t="s">
        <v>151</v>
      </c>
      <c r="O20" s="82">
        <v>115</v>
      </c>
      <c r="P20" s="83">
        <f t="shared" si="0"/>
        <v>4.1502760835829518E-3</v>
      </c>
      <c r="Q20" s="84">
        <v>27709</v>
      </c>
      <c r="R20" s="85">
        <f t="shared" si="1"/>
        <v>-115</v>
      </c>
      <c r="S20" s="82"/>
      <c r="T20" s="83" t="e">
        <f t="shared" si="2"/>
        <v>#DIV/0!</v>
      </c>
      <c r="U20" s="84"/>
      <c r="V20" s="113" t="s">
        <v>152</v>
      </c>
      <c r="W20" s="114" t="s">
        <v>153</v>
      </c>
      <c r="X20" s="115" t="s">
        <v>81</v>
      </c>
      <c r="Y20" s="90" t="s">
        <v>82</v>
      </c>
      <c r="Z20" s="90">
        <v>40037</v>
      </c>
      <c r="AA20" s="91"/>
    </row>
    <row r="21" spans="1:27" s="62" customFormat="1" ht="12" thickBot="1" x14ac:dyDescent="0.25">
      <c r="A21" s="169"/>
      <c r="B21" s="92"/>
      <c r="C21" s="121"/>
      <c r="D21" s="121"/>
      <c r="E21" s="122" t="s">
        <v>154</v>
      </c>
      <c r="F21" s="107" t="s">
        <v>60</v>
      </c>
      <c r="G21" s="108" t="s">
        <v>155</v>
      </c>
      <c r="H21" s="104"/>
      <c r="I21" s="77" t="s">
        <v>148</v>
      </c>
      <c r="J21" s="77" t="s">
        <v>156</v>
      </c>
      <c r="K21" s="109" t="s">
        <v>157</v>
      </c>
      <c r="L21" s="110" t="s">
        <v>9</v>
      </c>
      <c r="M21" s="111" t="s">
        <v>13</v>
      </c>
      <c r="N21" s="112" t="s">
        <v>158</v>
      </c>
      <c r="O21" s="82">
        <v>0</v>
      </c>
      <c r="P21" s="83">
        <f t="shared" si="0"/>
        <v>0</v>
      </c>
      <c r="Q21" s="84">
        <v>27709</v>
      </c>
      <c r="R21" s="85">
        <f t="shared" si="1"/>
        <v>0</v>
      </c>
      <c r="S21" s="82"/>
      <c r="T21" s="83" t="e">
        <f t="shared" si="2"/>
        <v>#DIV/0!</v>
      </c>
      <c r="U21" s="84"/>
      <c r="V21" s="113"/>
      <c r="W21" s="114"/>
      <c r="X21" s="115"/>
      <c r="Y21" s="90"/>
      <c r="Z21" s="90"/>
      <c r="AA21" s="91"/>
    </row>
    <row r="22" spans="1:27" ht="34.5" thickBot="1" x14ac:dyDescent="0.25">
      <c r="A22" s="169"/>
      <c r="B22" s="123"/>
      <c r="E22" s="74" t="s">
        <v>154</v>
      </c>
      <c r="F22" s="107" t="s">
        <v>60</v>
      </c>
      <c r="G22" s="108" t="s">
        <v>159</v>
      </c>
      <c r="H22" s="104"/>
      <c r="I22" s="77" t="s">
        <v>148</v>
      </c>
      <c r="J22" s="77" t="s">
        <v>156</v>
      </c>
      <c r="K22" s="109" t="s">
        <v>160</v>
      </c>
      <c r="L22" s="110" t="s">
        <v>53</v>
      </c>
      <c r="M22" s="111" t="s">
        <v>44</v>
      </c>
      <c r="N22" s="112" t="s">
        <v>161</v>
      </c>
      <c r="O22" s="82">
        <v>6</v>
      </c>
      <c r="P22" s="83">
        <f t="shared" si="0"/>
        <v>2.1653614349128442E-4</v>
      </c>
      <c r="Q22" s="84">
        <v>27709</v>
      </c>
      <c r="R22" s="85">
        <f t="shared" si="1"/>
        <v>-6</v>
      </c>
      <c r="S22" s="82"/>
      <c r="T22" s="83" t="e">
        <f t="shared" si="2"/>
        <v>#DIV/0!</v>
      </c>
      <c r="U22" s="84"/>
      <c r="V22" s="113" t="s">
        <v>162</v>
      </c>
      <c r="W22" s="114" t="s">
        <v>163</v>
      </c>
      <c r="X22" s="115" t="s">
        <v>81</v>
      </c>
      <c r="Y22" s="90" t="s">
        <v>82</v>
      </c>
      <c r="Z22" s="90">
        <v>40037</v>
      </c>
      <c r="AA22" s="91"/>
    </row>
    <row r="23" spans="1:27" s="62" customFormat="1" ht="12" thickBot="1" x14ac:dyDescent="0.25">
      <c r="A23" s="169"/>
      <c r="B23" s="92"/>
      <c r="C23" s="121"/>
      <c r="D23" s="121"/>
      <c r="E23" s="74" t="s">
        <v>164</v>
      </c>
      <c r="F23" s="107" t="s">
        <v>60</v>
      </c>
      <c r="G23" s="108" t="s">
        <v>165</v>
      </c>
      <c r="H23" s="104"/>
      <c r="I23" s="77" t="s">
        <v>148</v>
      </c>
      <c r="J23" s="77" t="s">
        <v>166</v>
      </c>
      <c r="K23" s="109" t="s">
        <v>167</v>
      </c>
      <c r="L23" s="110" t="s">
        <v>53</v>
      </c>
      <c r="M23" s="111" t="s">
        <v>11</v>
      </c>
      <c r="N23" s="112" t="s">
        <v>168</v>
      </c>
      <c r="O23" s="82">
        <v>0</v>
      </c>
      <c r="P23" s="83">
        <f t="shared" si="0"/>
        <v>0</v>
      </c>
      <c r="Q23" s="84">
        <v>27709</v>
      </c>
      <c r="R23" s="85">
        <f t="shared" si="1"/>
        <v>0</v>
      </c>
      <c r="S23" s="82"/>
      <c r="T23" s="83" t="e">
        <f t="shared" si="2"/>
        <v>#DIV/0!</v>
      </c>
      <c r="U23" s="84"/>
      <c r="V23" s="113"/>
      <c r="W23" s="114"/>
      <c r="X23" s="115"/>
      <c r="Y23" s="90"/>
      <c r="Z23" s="90"/>
      <c r="AA23" s="91"/>
    </row>
    <row r="24" spans="1:27" s="62" customFormat="1" ht="57" thickBot="1" x14ac:dyDescent="0.25">
      <c r="A24" s="169"/>
      <c r="B24" s="92"/>
      <c r="C24" s="121"/>
      <c r="D24" s="121"/>
      <c r="E24" s="122" t="s">
        <v>164</v>
      </c>
      <c r="F24" s="107" t="s">
        <v>60</v>
      </c>
      <c r="G24" s="108" t="s">
        <v>165</v>
      </c>
      <c r="H24" s="104"/>
      <c r="I24" s="77" t="s">
        <v>148</v>
      </c>
      <c r="J24" s="77" t="s">
        <v>166</v>
      </c>
      <c r="K24" s="109" t="s">
        <v>169</v>
      </c>
      <c r="L24" s="110" t="s">
        <v>9</v>
      </c>
      <c r="M24" s="111" t="s">
        <v>13</v>
      </c>
      <c r="N24" s="112" t="s">
        <v>170</v>
      </c>
      <c r="O24" s="82">
        <v>5478</v>
      </c>
      <c r="P24" s="83">
        <f t="shared" si="0"/>
        <v>0.19769749900754269</v>
      </c>
      <c r="Q24" s="84">
        <v>27709</v>
      </c>
      <c r="R24" s="85">
        <f t="shared" si="1"/>
        <v>-5478</v>
      </c>
      <c r="S24" s="82"/>
      <c r="T24" s="83" t="e">
        <f t="shared" si="2"/>
        <v>#DIV/0!</v>
      </c>
      <c r="U24" s="84"/>
      <c r="V24" s="113" t="s">
        <v>171</v>
      </c>
      <c r="W24" s="114" t="s">
        <v>172</v>
      </c>
      <c r="X24" s="115" t="s">
        <v>81</v>
      </c>
      <c r="Y24" s="90" t="s">
        <v>82</v>
      </c>
      <c r="Z24" s="90">
        <v>40037</v>
      </c>
      <c r="AA24" s="91"/>
    </row>
    <row r="25" spans="1:27" ht="34.5" thickBot="1" x14ac:dyDescent="0.25">
      <c r="A25" s="169"/>
      <c r="B25" s="123"/>
      <c r="E25" s="74" t="s">
        <v>173</v>
      </c>
      <c r="F25" s="107" t="s">
        <v>95</v>
      </c>
      <c r="G25" s="108" t="s">
        <v>174</v>
      </c>
      <c r="H25" s="104"/>
      <c r="I25" s="77" t="s">
        <v>62</v>
      </c>
      <c r="J25" s="77" t="s">
        <v>175</v>
      </c>
      <c r="K25" s="109" t="s">
        <v>176</v>
      </c>
      <c r="L25" s="110" t="s">
        <v>53</v>
      </c>
      <c r="M25" s="111" t="s">
        <v>11</v>
      </c>
      <c r="N25" s="112" t="s">
        <v>177</v>
      </c>
      <c r="O25" s="82">
        <v>3833</v>
      </c>
      <c r="P25" s="83">
        <f t="shared" si="0"/>
        <v>0.13833050633368218</v>
      </c>
      <c r="Q25" s="84">
        <v>27709</v>
      </c>
      <c r="R25" s="85">
        <f t="shared" si="1"/>
        <v>-3833</v>
      </c>
      <c r="S25" s="82"/>
      <c r="T25" s="83" t="e">
        <f t="shared" si="2"/>
        <v>#DIV/0!</v>
      </c>
      <c r="U25" s="84"/>
      <c r="V25" s="113" t="s">
        <v>178</v>
      </c>
      <c r="W25" s="114" t="s">
        <v>179</v>
      </c>
      <c r="X25" s="115" t="s">
        <v>81</v>
      </c>
      <c r="Y25" s="90" t="s">
        <v>82</v>
      </c>
      <c r="Z25" s="90">
        <v>40037</v>
      </c>
      <c r="AA25" s="91"/>
    </row>
    <row r="26" spans="1:27" ht="12" thickBot="1" x14ac:dyDescent="0.25">
      <c r="A26" s="169"/>
      <c r="B26" s="123"/>
      <c r="E26" s="74" t="s">
        <v>180</v>
      </c>
      <c r="F26" s="107" t="s">
        <v>95</v>
      </c>
      <c r="G26" s="108" t="s">
        <v>181</v>
      </c>
      <c r="H26" s="104"/>
      <c r="I26" s="77" t="s">
        <v>148</v>
      </c>
      <c r="J26" s="77" t="s">
        <v>182</v>
      </c>
      <c r="K26" s="109" t="s">
        <v>183</v>
      </c>
      <c r="L26" s="110" t="s">
        <v>53</v>
      </c>
      <c r="M26" s="111" t="s">
        <v>11</v>
      </c>
      <c r="N26" s="112" t="s">
        <v>184</v>
      </c>
      <c r="O26" s="82">
        <v>0</v>
      </c>
      <c r="P26" s="83">
        <f t="shared" si="0"/>
        <v>0</v>
      </c>
      <c r="Q26" s="84">
        <v>27709</v>
      </c>
      <c r="R26" s="85">
        <f t="shared" si="1"/>
        <v>0</v>
      </c>
      <c r="S26" s="82"/>
      <c r="T26" s="83" t="e">
        <f t="shared" si="2"/>
        <v>#DIV/0!</v>
      </c>
      <c r="U26" s="84"/>
      <c r="V26" s="113"/>
      <c r="W26" s="114"/>
      <c r="X26" s="115"/>
      <c r="Y26" s="90"/>
      <c r="Z26" s="90"/>
      <c r="AA26" s="91"/>
    </row>
    <row r="27" spans="1:27" ht="12" thickBot="1" x14ac:dyDescent="0.25">
      <c r="A27" s="169"/>
      <c r="B27" s="123"/>
      <c r="E27" s="74" t="s">
        <v>185</v>
      </c>
      <c r="F27" s="107" t="s">
        <v>95</v>
      </c>
      <c r="G27" s="108" t="s">
        <v>186</v>
      </c>
      <c r="H27" s="104"/>
      <c r="I27" s="77" t="s">
        <v>148</v>
      </c>
      <c r="J27" s="77" t="s">
        <v>187</v>
      </c>
      <c r="K27" s="109" t="s">
        <v>188</v>
      </c>
      <c r="L27" s="110" t="s">
        <v>53</v>
      </c>
      <c r="M27" s="111" t="s">
        <v>11</v>
      </c>
      <c r="N27" s="112" t="s">
        <v>189</v>
      </c>
      <c r="O27" s="82">
        <v>0</v>
      </c>
      <c r="P27" s="83">
        <f t="shared" si="0"/>
        <v>0</v>
      </c>
      <c r="Q27" s="84">
        <v>27709</v>
      </c>
      <c r="R27" s="85">
        <f t="shared" si="1"/>
        <v>0</v>
      </c>
      <c r="S27" s="82"/>
      <c r="T27" s="83" t="e">
        <f t="shared" si="2"/>
        <v>#DIV/0!</v>
      </c>
      <c r="U27" s="84"/>
      <c r="V27" s="113"/>
      <c r="W27" s="114"/>
      <c r="X27" s="115"/>
      <c r="Y27" s="90"/>
      <c r="Z27" s="90"/>
      <c r="AA27" s="91"/>
    </row>
    <row r="28" spans="1:27" ht="12" thickBot="1" x14ac:dyDescent="0.25">
      <c r="A28" s="169"/>
      <c r="B28" s="123"/>
      <c r="E28" s="74" t="s">
        <v>185</v>
      </c>
      <c r="F28" s="107" t="s">
        <v>95</v>
      </c>
      <c r="G28" s="108" t="s">
        <v>186</v>
      </c>
      <c r="H28" s="104"/>
      <c r="I28" s="77"/>
      <c r="J28" s="77"/>
      <c r="K28" s="109" t="s">
        <v>190</v>
      </c>
      <c r="L28" s="110" t="s">
        <v>53</v>
      </c>
      <c r="M28" s="111" t="s">
        <v>13</v>
      </c>
      <c r="N28" s="112" t="s">
        <v>191</v>
      </c>
      <c r="O28" s="82">
        <v>0</v>
      </c>
      <c r="P28" s="83">
        <f t="shared" si="0"/>
        <v>0</v>
      </c>
      <c r="Q28" s="84">
        <v>27709</v>
      </c>
      <c r="R28" s="85">
        <f t="shared" si="1"/>
        <v>0</v>
      </c>
      <c r="S28" s="82"/>
      <c r="T28" s="83" t="e">
        <f t="shared" si="2"/>
        <v>#DIV/0!</v>
      </c>
      <c r="U28" s="84"/>
      <c r="V28" s="113"/>
      <c r="W28" s="114"/>
      <c r="X28" s="115"/>
      <c r="Y28" s="90"/>
      <c r="Z28" s="90"/>
      <c r="AA28" s="91"/>
    </row>
    <row r="29" spans="1:27" ht="12" thickBot="1" x14ac:dyDescent="0.25">
      <c r="A29" s="169"/>
      <c r="B29" s="123"/>
      <c r="E29" s="74" t="s">
        <v>192</v>
      </c>
      <c r="F29" s="107" t="s">
        <v>95</v>
      </c>
      <c r="G29" s="108" t="s">
        <v>193</v>
      </c>
      <c r="H29" s="104"/>
      <c r="I29" s="77" t="s">
        <v>148</v>
      </c>
      <c r="J29" s="77" t="s">
        <v>194</v>
      </c>
      <c r="K29" s="109" t="s">
        <v>195</v>
      </c>
      <c r="L29" s="110" t="s">
        <v>53</v>
      </c>
      <c r="M29" s="111" t="s">
        <v>11</v>
      </c>
      <c r="N29" s="112" t="s">
        <v>196</v>
      </c>
      <c r="O29" s="82">
        <v>0</v>
      </c>
      <c r="P29" s="83">
        <f t="shared" si="0"/>
        <v>0</v>
      </c>
      <c r="Q29" s="84">
        <v>27709</v>
      </c>
      <c r="R29" s="85">
        <f t="shared" si="1"/>
        <v>0</v>
      </c>
      <c r="S29" s="82"/>
      <c r="T29" s="83" t="e">
        <f t="shared" si="2"/>
        <v>#DIV/0!</v>
      </c>
      <c r="U29" s="84"/>
      <c r="V29" s="113"/>
      <c r="W29" s="114"/>
      <c r="X29" s="115"/>
      <c r="Y29" s="90"/>
      <c r="Z29" s="90"/>
      <c r="AA29" s="91"/>
    </row>
    <row r="30" spans="1:27" ht="23.25" thickBot="1" x14ac:dyDescent="0.25">
      <c r="A30" s="169"/>
      <c r="B30" s="123"/>
      <c r="E30" s="122" t="s">
        <v>192</v>
      </c>
      <c r="F30" s="107" t="s">
        <v>95</v>
      </c>
      <c r="G30" s="108" t="s">
        <v>193</v>
      </c>
      <c r="H30" s="104"/>
      <c r="I30" s="77" t="s">
        <v>148</v>
      </c>
      <c r="J30" s="77" t="s">
        <v>194</v>
      </c>
      <c r="K30" s="109" t="s">
        <v>197</v>
      </c>
      <c r="L30" s="110" t="s">
        <v>9</v>
      </c>
      <c r="M30" s="111" t="s">
        <v>14</v>
      </c>
      <c r="N30" s="112" t="s">
        <v>198</v>
      </c>
      <c r="O30" s="82">
        <v>179</v>
      </c>
      <c r="P30" s="83">
        <f t="shared" si="0"/>
        <v>6.4599949474899851E-3</v>
      </c>
      <c r="Q30" s="84">
        <v>27709</v>
      </c>
      <c r="R30" s="85">
        <f t="shared" si="1"/>
        <v>-179</v>
      </c>
      <c r="S30" s="82"/>
      <c r="T30" s="83" t="e">
        <f t="shared" si="2"/>
        <v>#DIV/0!</v>
      </c>
      <c r="U30" s="84"/>
      <c r="V30" s="113" t="s">
        <v>199</v>
      </c>
      <c r="W30" s="114"/>
      <c r="X30" s="115" t="s">
        <v>81</v>
      </c>
      <c r="Y30" s="90" t="s">
        <v>82</v>
      </c>
      <c r="Z30" s="90">
        <v>40037</v>
      </c>
      <c r="AA30" s="91"/>
    </row>
    <row r="31" spans="1:27" ht="12" thickBot="1" x14ac:dyDescent="0.25">
      <c r="A31" s="169"/>
      <c r="B31" s="123"/>
      <c r="E31" s="74" t="s">
        <v>200</v>
      </c>
      <c r="F31" s="107" t="s">
        <v>60</v>
      </c>
      <c r="G31" s="108" t="s">
        <v>201</v>
      </c>
      <c r="H31" s="104"/>
      <c r="I31" s="77" t="s">
        <v>62</v>
      </c>
      <c r="J31" s="77" t="s">
        <v>202</v>
      </c>
      <c r="K31" s="109" t="s">
        <v>203</v>
      </c>
      <c r="L31" s="110" t="s">
        <v>53</v>
      </c>
      <c r="M31" s="111" t="s">
        <v>11</v>
      </c>
      <c r="N31" s="112" t="s">
        <v>204</v>
      </c>
      <c r="O31" s="82">
        <v>0</v>
      </c>
      <c r="P31" s="83">
        <f t="shared" si="0"/>
        <v>0</v>
      </c>
      <c r="Q31" s="84">
        <v>27709</v>
      </c>
      <c r="R31" s="85">
        <f t="shared" si="1"/>
        <v>0</v>
      </c>
      <c r="S31" s="82"/>
      <c r="T31" s="83" t="e">
        <f t="shared" si="2"/>
        <v>#DIV/0!</v>
      </c>
      <c r="U31" s="84"/>
      <c r="V31" s="113"/>
      <c r="W31" s="114"/>
      <c r="X31" s="115"/>
      <c r="Y31" s="90"/>
      <c r="Z31" s="90"/>
      <c r="AA31" s="91"/>
    </row>
    <row r="32" spans="1:27" ht="12" thickBot="1" x14ac:dyDescent="0.25">
      <c r="A32" s="169"/>
      <c r="B32" s="123"/>
      <c r="E32" s="122" t="s">
        <v>200</v>
      </c>
      <c r="F32" s="107" t="s">
        <v>60</v>
      </c>
      <c r="G32" s="108" t="s">
        <v>201</v>
      </c>
      <c r="H32" s="104"/>
      <c r="I32" s="77" t="s">
        <v>62</v>
      </c>
      <c r="J32" s="77" t="s">
        <v>202</v>
      </c>
      <c r="K32" s="109" t="s">
        <v>205</v>
      </c>
      <c r="L32" s="110" t="s">
        <v>9</v>
      </c>
      <c r="M32" s="111" t="s">
        <v>14</v>
      </c>
      <c r="N32" s="112" t="s">
        <v>206</v>
      </c>
      <c r="O32" s="82">
        <v>0</v>
      </c>
      <c r="P32" s="83">
        <f t="shared" si="0"/>
        <v>0</v>
      </c>
      <c r="Q32" s="84">
        <v>27709</v>
      </c>
      <c r="R32" s="85">
        <f t="shared" si="1"/>
        <v>0</v>
      </c>
      <c r="S32" s="82"/>
      <c r="T32" s="83" t="e">
        <f t="shared" si="2"/>
        <v>#DIV/0!</v>
      </c>
      <c r="U32" s="84"/>
      <c r="V32" s="113"/>
      <c r="W32" s="114"/>
      <c r="X32" s="115"/>
      <c r="Y32" s="90"/>
      <c r="Z32" s="90"/>
      <c r="AA32" s="91"/>
    </row>
    <row r="33" spans="1:27" ht="45.75" thickBot="1" x14ac:dyDescent="0.25">
      <c r="A33" s="169"/>
      <c r="B33" s="123"/>
      <c r="E33" s="74" t="s">
        <v>207</v>
      </c>
      <c r="F33" s="107" t="s">
        <v>208</v>
      </c>
      <c r="G33" s="108" t="s">
        <v>209</v>
      </c>
      <c r="H33" s="104"/>
      <c r="I33" s="77" t="s">
        <v>210</v>
      </c>
      <c r="J33" s="77" t="s">
        <v>211</v>
      </c>
      <c r="K33" s="109" t="s">
        <v>212</v>
      </c>
      <c r="L33" s="110" t="s">
        <v>53</v>
      </c>
      <c r="M33" s="111" t="s">
        <v>11</v>
      </c>
      <c r="N33" s="112" t="s">
        <v>213</v>
      </c>
      <c r="O33" s="82">
        <v>368</v>
      </c>
      <c r="P33" s="83">
        <f t="shared" si="0"/>
        <v>1.3280883467465445E-2</v>
      </c>
      <c r="Q33" s="84">
        <v>27709</v>
      </c>
      <c r="R33" s="85">
        <f t="shared" si="1"/>
        <v>-368</v>
      </c>
      <c r="S33" s="82"/>
      <c r="T33" s="83" t="e">
        <f t="shared" si="2"/>
        <v>#DIV/0!</v>
      </c>
      <c r="U33" s="84"/>
      <c r="V33" s="113" t="s">
        <v>214</v>
      </c>
      <c r="W33" s="114" t="s">
        <v>215</v>
      </c>
      <c r="X33" s="115" t="s">
        <v>81</v>
      </c>
      <c r="Y33" s="90" t="s">
        <v>82</v>
      </c>
      <c r="Z33" s="90">
        <v>40037</v>
      </c>
      <c r="AA33" s="91"/>
    </row>
    <row r="34" spans="1:27" ht="23.25" thickBot="1" x14ac:dyDescent="0.25">
      <c r="A34" s="169"/>
      <c r="B34" s="123"/>
      <c r="E34" s="106" t="s">
        <v>216</v>
      </c>
      <c r="F34" s="107" t="s">
        <v>208</v>
      </c>
      <c r="G34" s="108" t="s">
        <v>217</v>
      </c>
      <c r="H34" s="104"/>
      <c r="I34" s="77" t="s">
        <v>210</v>
      </c>
      <c r="J34" s="77" t="s">
        <v>211</v>
      </c>
      <c r="K34" s="109" t="s">
        <v>218</v>
      </c>
      <c r="L34" s="110" t="s">
        <v>53</v>
      </c>
      <c r="M34" s="111" t="s">
        <v>11</v>
      </c>
      <c r="N34" s="112" t="s">
        <v>219</v>
      </c>
      <c r="O34" s="82">
        <v>0</v>
      </c>
      <c r="P34" s="83">
        <f t="shared" si="0"/>
        <v>0</v>
      </c>
      <c r="Q34" s="84">
        <v>27709</v>
      </c>
      <c r="R34" s="85">
        <f t="shared" si="1"/>
        <v>0</v>
      </c>
      <c r="S34" s="82"/>
      <c r="T34" s="83" t="e">
        <f t="shared" si="2"/>
        <v>#DIV/0!</v>
      </c>
      <c r="U34" s="84"/>
      <c r="V34" s="113"/>
      <c r="W34" s="114"/>
      <c r="X34" s="115"/>
      <c r="Y34" s="90"/>
      <c r="Z34" s="90"/>
      <c r="AA34" s="91"/>
    </row>
    <row r="35" spans="1:27" ht="45.75" thickBot="1" x14ac:dyDescent="0.25">
      <c r="A35" s="169"/>
      <c r="B35" s="123"/>
      <c r="E35" s="124" t="s">
        <v>220</v>
      </c>
      <c r="F35" s="107" t="s">
        <v>208</v>
      </c>
      <c r="G35" s="108" t="s">
        <v>221</v>
      </c>
      <c r="H35" s="104"/>
      <c r="I35" s="77" t="s">
        <v>210</v>
      </c>
      <c r="J35" s="77" t="s">
        <v>211</v>
      </c>
      <c r="K35" s="109" t="s">
        <v>222</v>
      </c>
      <c r="L35" s="110" t="s">
        <v>53</v>
      </c>
      <c r="M35" s="111" t="s">
        <v>14</v>
      </c>
      <c r="N35" s="112" t="s">
        <v>223</v>
      </c>
      <c r="O35" s="82">
        <v>523</v>
      </c>
      <c r="P35" s="83">
        <f t="shared" si="0"/>
        <v>1.8874733840990292E-2</v>
      </c>
      <c r="Q35" s="84">
        <v>27709</v>
      </c>
      <c r="R35" s="85">
        <f t="shared" si="1"/>
        <v>-523</v>
      </c>
      <c r="S35" s="82"/>
      <c r="T35" s="83" t="e">
        <f t="shared" si="2"/>
        <v>#DIV/0!</v>
      </c>
      <c r="U35" s="84"/>
      <c r="V35" s="113" t="s">
        <v>224</v>
      </c>
      <c r="W35" s="114" t="s">
        <v>225</v>
      </c>
      <c r="X35" s="115" t="s">
        <v>76</v>
      </c>
      <c r="Y35" s="90" t="s">
        <v>76</v>
      </c>
      <c r="Z35" s="90">
        <v>40037</v>
      </c>
      <c r="AA35" s="91"/>
    </row>
    <row r="36" spans="1:27" ht="12" thickBot="1" x14ac:dyDescent="0.25">
      <c r="A36" s="169"/>
      <c r="B36" s="123"/>
      <c r="E36" s="122" t="s">
        <v>226</v>
      </c>
      <c r="F36" s="107" t="s">
        <v>227</v>
      </c>
      <c r="G36" s="108" t="s">
        <v>228</v>
      </c>
      <c r="H36" s="104"/>
      <c r="I36" s="77" t="s">
        <v>148</v>
      </c>
      <c r="J36" s="77" t="s">
        <v>229</v>
      </c>
      <c r="K36" s="109" t="s">
        <v>230</v>
      </c>
      <c r="L36" s="110" t="s">
        <v>9</v>
      </c>
      <c r="M36" s="111" t="s">
        <v>11</v>
      </c>
      <c r="N36" s="112" t="s">
        <v>231</v>
      </c>
      <c r="O36" s="82">
        <v>0</v>
      </c>
      <c r="P36" s="83">
        <f t="shared" si="0"/>
        <v>0</v>
      </c>
      <c r="Q36" s="84">
        <v>27709</v>
      </c>
      <c r="R36" s="85">
        <f t="shared" si="1"/>
        <v>0</v>
      </c>
      <c r="S36" s="82"/>
      <c r="T36" s="83" t="e">
        <f t="shared" si="2"/>
        <v>#DIV/0!</v>
      </c>
      <c r="U36" s="84"/>
      <c r="V36" s="113"/>
      <c r="W36" s="114"/>
      <c r="X36" s="115"/>
      <c r="Y36" s="90"/>
      <c r="Z36" s="90"/>
      <c r="AA36" s="91"/>
    </row>
    <row r="37" spans="1:27" ht="12" thickBot="1" x14ac:dyDescent="0.25">
      <c r="A37" s="170"/>
      <c r="B37" s="125"/>
      <c r="E37" s="122" t="s">
        <v>232</v>
      </c>
      <c r="F37" s="107" t="s">
        <v>233</v>
      </c>
      <c r="G37" s="108" t="s">
        <v>234</v>
      </c>
      <c r="H37" s="104"/>
      <c r="I37" s="77" t="s">
        <v>235</v>
      </c>
      <c r="J37" s="77" t="s">
        <v>149</v>
      </c>
      <c r="K37" s="109" t="s">
        <v>236</v>
      </c>
      <c r="L37" s="110" t="s">
        <v>9</v>
      </c>
      <c r="M37" s="111" t="s">
        <v>11</v>
      </c>
      <c r="N37" s="112" t="s">
        <v>231</v>
      </c>
      <c r="O37" s="82">
        <v>0</v>
      </c>
      <c r="P37" s="83">
        <f t="shared" si="0"/>
        <v>0</v>
      </c>
      <c r="Q37" s="84">
        <v>27709</v>
      </c>
      <c r="R37" s="85">
        <f t="shared" si="1"/>
        <v>0</v>
      </c>
      <c r="S37" s="82"/>
      <c r="T37" s="83" t="e">
        <f t="shared" si="2"/>
        <v>#DIV/0!</v>
      </c>
      <c r="U37" s="84"/>
      <c r="V37" s="113"/>
      <c r="W37" s="114"/>
      <c r="X37" s="115"/>
      <c r="Y37" s="90"/>
      <c r="Z37" s="90"/>
      <c r="AA37" s="91"/>
    </row>
    <row r="38" spans="1:27" x14ac:dyDescent="0.2">
      <c r="Q38" s="129"/>
    </row>
    <row r="39" spans="1:27" x14ac:dyDescent="0.2">
      <c r="O39" s="127">
        <f>SUM(O4:O37)</f>
        <v>21649</v>
      </c>
      <c r="Q39" s="132"/>
    </row>
    <row r="46" spans="1:27" x14ac:dyDescent="0.2">
      <c r="P46" s="133"/>
    </row>
  </sheetData>
  <autoFilter ref="A3:AE37"/>
  <mergeCells count="29">
    <mergeCell ref="C2:C3"/>
    <mergeCell ref="D2:D3"/>
    <mergeCell ref="E2:E3"/>
    <mergeCell ref="Y1:AA1"/>
    <mergeCell ref="Z2:Z3"/>
    <mergeCell ref="AA2:AA3"/>
    <mergeCell ref="P2:P3"/>
    <mergeCell ref="Q2:Q3"/>
    <mergeCell ref="R2:R3"/>
    <mergeCell ref="Y2:Y3"/>
    <mergeCell ref="O1:Q1"/>
    <mergeCell ref="R1:U1"/>
    <mergeCell ref="T2:T3"/>
    <mergeCell ref="A4:A37"/>
    <mergeCell ref="V2:V3"/>
    <mergeCell ref="W2:W3"/>
    <mergeCell ref="X2:X3"/>
    <mergeCell ref="F2:G2"/>
    <mergeCell ref="H2:H3"/>
    <mergeCell ref="I2:J2"/>
    <mergeCell ref="K2:K3"/>
    <mergeCell ref="L2:L3"/>
    <mergeCell ref="M2:M3"/>
    <mergeCell ref="U2:U3"/>
    <mergeCell ref="N2:N3"/>
    <mergeCell ref="O2:O3"/>
    <mergeCell ref="S2:S3"/>
    <mergeCell ref="A2:A3"/>
    <mergeCell ref="B2:B3"/>
  </mergeCells>
  <phoneticPr fontId="0" type="noConversion"/>
  <conditionalFormatting sqref="L5 N5 N17 N10 L7 N7 N14:N15 L16 N20:N21 N23:N28 K4:K37">
    <cfRule type="expression" dxfId="5" priority="5" stopIfTrue="1">
      <formula>$S4="No"</formula>
    </cfRule>
    <cfRule type="expression" dxfId="4" priority="6" stopIfTrue="1">
      <formula>$S4="To Be Determined"</formula>
    </cfRule>
  </conditionalFormatting>
  <conditionalFormatting sqref="S5:W5 X34:Y34 V36:Y37 V21:W34 T13:W15 X15:Y15 X21:Y21 X23:Y23 X26:Y29 X31:Y32 Y5 P4:Q4 L7 L5 K17 K14:K15 L16 K20:K21 K23:K28 P5:P37 S21:U37 N4:N37 Q5:Q38 T4:U4 T6:U12 T16:U20">
    <cfRule type="expression" dxfId="3" priority="3" stopIfTrue="1">
      <formula>#REF!="No"</formula>
    </cfRule>
    <cfRule type="expression" dxfId="2" priority="4" stopIfTrue="1">
      <formula>#REF!="To Be Determined"</formula>
    </cfRule>
  </conditionalFormatting>
  <conditionalFormatting sqref="L5 L7 N5 K17 N10 N7 N23:N28 K14:K15 N14:N17 N20:N21 K20:K21 K23:K28">
    <cfRule type="expression" dxfId="1" priority="1" stopIfTrue="1">
      <formula>#REF!="No"</formula>
    </cfRule>
    <cfRule type="expression" dxfId="0" priority="2" stopIfTrue="1">
      <formula>#REF!="To Be Determined"</formula>
    </cfRule>
  </conditionalFormatting>
  <dataValidations count="2">
    <dataValidation type="list" allowBlank="1" showInputMessage="1" showErrorMessage="1" sqref="L4:L65536">
      <formula1>"Business, SAP"</formula1>
    </dataValidation>
    <dataValidation type="list" allowBlank="1" showInputMessage="1" showErrorMessage="1" sqref="M4:M65536">
      <formula1>DQ_Type</formula1>
    </dataValidation>
  </dataValidations>
  <pageMargins left="0.75" right="0.75" top="1" bottom="1" header="0.5" footer="0.5"/>
  <pageSetup paperSize="5" scale="4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Input</vt:lpstr>
      <vt:lpstr>Stats</vt:lpstr>
      <vt:lpstr>Remediation Plan</vt:lpstr>
      <vt:lpstr>CURRENTFILE</vt:lpstr>
      <vt:lpstr>CURRENTPATH</vt:lpstr>
      <vt:lpstr>INPUTPATH</vt:lpstr>
      <vt:lpstr>OUTPUTPATH</vt:lpstr>
      <vt:lpstr>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mdharmana</dc:creator>
  <cp:lastModifiedBy>Rahul kumar</cp:lastModifiedBy>
  <dcterms:created xsi:type="dcterms:W3CDTF">1996-10-14T23:33:28Z</dcterms:created>
  <dcterms:modified xsi:type="dcterms:W3CDTF">2017-05-29T15:44:19Z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